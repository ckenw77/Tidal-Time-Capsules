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k1g20_soton_ac_uk/Documents/Documents/PhD/20_Historical_record_catalogue/"/>
    </mc:Choice>
  </mc:AlternateContent>
  <xr:revisionPtr revIDLastSave="190" documentId="8_{22737A28-F927-43B1-8C9E-30BC7D7DE0AF}" xr6:coauthVersionLast="47" xr6:coauthVersionMax="47" xr10:uidLastSave="{08F61479-E60F-4CEA-8A98-55D784821D41}"/>
  <bookViews>
    <workbookView xWindow="28680" yWindow="-120" windowWidth="29040" windowHeight="15720" xr2:uid="{8FB86131-9B33-41BE-BB40-45738662A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7" i="1" l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G396" i="1"/>
  <c r="J396" i="1" s="1"/>
  <c r="G395" i="1"/>
  <c r="J395" i="1" s="1"/>
  <c r="G394" i="1"/>
  <c r="J394" i="1" s="1"/>
  <c r="G393" i="1"/>
  <c r="J393" i="1" s="1"/>
  <c r="G392" i="1"/>
  <c r="J392" i="1" s="1"/>
  <c r="G391" i="1"/>
  <c r="J391" i="1" s="1"/>
  <c r="G390" i="1"/>
  <c r="J390" i="1" s="1"/>
  <c r="G389" i="1"/>
  <c r="J389" i="1" s="1"/>
  <c r="G388" i="1"/>
  <c r="J388" i="1" s="1"/>
  <c r="G387" i="1"/>
  <c r="J387" i="1" s="1"/>
  <c r="G386" i="1"/>
  <c r="J386" i="1" s="1"/>
  <c r="G385" i="1"/>
  <c r="J385" i="1" s="1"/>
  <c r="G384" i="1"/>
  <c r="J384" i="1" s="1"/>
  <c r="G383" i="1"/>
  <c r="J383" i="1" s="1"/>
  <c r="G382" i="1"/>
  <c r="J382" i="1" s="1"/>
  <c r="G381" i="1"/>
  <c r="J381" i="1" s="1"/>
  <c r="G380" i="1"/>
  <c r="J380" i="1" s="1"/>
  <c r="G379" i="1"/>
  <c r="J379" i="1" s="1"/>
  <c r="G378" i="1"/>
  <c r="J378" i="1" s="1"/>
  <c r="G377" i="1"/>
  <c r="J377" i="1" s="1"/>
  <c r="G376" i="1"/>
  <c r="J376" i="1" s="1"/>
  <c r="G375" i="1"/>
  <c r="J375" i="1" s="1"/>
  <c r="G374" i="1"/>
  <c r="J374" i="1" s="1"/>
  <c r="G373" i="1"/>
  <c r="J373" i="1" s="1"/>
  <c r="G372" i="1"/>
  <c r="J372" i="1" s="1"/>
  <c r="J371" i="1"/>
  <c r="H371" i="1" s="1"/>
  <c r="H370" i="1"/>
  <c r="H369" i="1"/>
  <c r="H368" i="1"/>
  <c r="H367" i="1"/>
  <c r="J366" i="1"/>
  <c r="H366" i="1" s="1"/>
  <c r="H365" i="1"/>
  <c r="H364" i="1"/>
  <c r="H363" i="1"/>
  <c r="J362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J349" i="1"/>
  <c r="H349" i="1"/>
  <c r="J348" i="1"/>
  <c r="H348" i="1" s="1"/>
  <c r="J347" i="1"/>
  <c r="H347" i="1" s="1"/>
  <c r="J346" i="1"/>
  <c r="H346" i="1" s="1"/>
  <c r="J345" i="1"/>
  <c r="H345" i="1" s="1"/>
  <c r="J344" i="1"/>
  <c r="H344" i="1"/>
  <c r="J343" i="1"/>
  <c r="H343" i="1"/>
  <c r="J342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J327" i="1"/>
  <c r="H327" i="1" s="1"/>
  <c r="J326" i="1"/>
  <c r="H326" i="1" s="1"/>
  <c r="H325" i="1"/>
  <c r="J324" i="1"/>
  <c r="H324" i="1" s="1"/>
  <c r="H323" i="1"/>
  <c r="J322" i="1"/>
  <c r="H322" i="1" s="1"/>
  <c r="H321" i="1"/>
  <c r="H320" i="1"/>
  <c r="J319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J250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J215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J120" i="1"/>
  <c r="H120" i="1" s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J100" i="1"/>
  <c r="H100" i="1" s="1"/>
  <c r="J99" i="1"/>
  <c r="H99" i="1"/>
  <c r="H98" i="1"/>
  <c r="H97" i="1"/>
  <c r="H96" i="1"/>
  <c r="H95" i="1"/>
  <c r="H94" i="1"/>
  <c r="J93" i="1"/>
  <c r="H93" i="1" s="1"/>
  <c r="J92" i="1"/>
  <c r="H92" i="1"/>
  <c r="J91" i="1"/>
  <c r="H91" i="1" s="1"/>
  <c r="H90" i="1"/>
  <c r="J89" i="1"/>
  <c r="H89" i="1" s="1"/>
  <c r="J88" i="1"/>
  <c r="H88" i="1" s="1"/>
  <c r="H87" i="1"/>
  <c r="H86" i="1"/>
  <c r="J85" i="1"/>
  <c r="H85" i="1" s="1"/>
  <c r="H84" i="1"/>
  <c r="H83" i="1"/>
  <c r="H82" i="1"/>
  <c r="H74" i="1"/>
  <c r="H73" i="1"/>
  <c r="H72" i="1"/>
  <c r="H71" i="1"/>
  <c r="H70" i="1"/>
  <c r="H69" i="1"/>
  <c r="H68" i="1"/>
  <c r="H67" i="1"/>
  <c r="H66" i="1"/>
  <c r="H65" i="1"/>
  <c r="J64" i="1"/>
  <c r="H64" i="1" s="1"/>
  <c r="J63" i="1"/>
  <c r="H63" i="1" s="1"/>
  <c r="H62" i="1"/>
  <c r="H61" i="1"/>
  <c r="J60" i="1"/>
  <c r="H60" i="1" s="1"/>
  <c r="H59" i="1"/>
  <c r="J58" i="1"/>
  <c r="H58" i="1" s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J27" i="1"/>
  <c r="H27" i="1" s="1"/>
  <c r="H26" i="1"/>
  <c r="H25" i="1"/>
  <c r="H24" i="1"/>
  <c r="J23" i="1"/>
  <c r="H23" i="1" s="1"/>
  <c r="J22" i="1"/>
  <c r="H22" i="1"/>
  <c r="H21" i="1"/>
  <c r="J20" i="1"/>
  <c r="H20" i="1" s="1"/>
  <c r="E20" i="1"/>
  <c r="D20" i="1"/>
  <c r="H19" i="1"/>
  <c r="E19" i="1"/>
  <c r="D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J5" i="1"/>
  <c r="H5" i="1" s="1"/>
  <c r="J4" i="1"/>
  <c r="H4" i="1" s="1"/>
  <c r="J3" i="1"/>
  <c r="H3" i="1" s="1"/>
  <c r="H2" i="1"/>
</calcChain>
</file>

<file path=xl/sharedStrings.xml><?xml version="1.0" encoding="utf-8"?>
<sst xmlns="http://schemas.openxmlformats.org/spreadsheetml/2006/main" count="3751" uniqueCount="756">
  <si>
    <t>Study</t>
  </si>
  <si>
    <t>Location</t>
  </si>
  <si>
    <t>Country</t>
  </si>
  <si>
    <t>Latitude</t>
  </si>
  <si>
    <t>Longitude</t>
  </si>
  <si>
    <t>Record start</t>
  </si>
  <si>
    <t>Record finish</t>
  </si>
  <si>
    <t>Missing years</t>
  </si>
  <si>
    <t>Data Type</t>
  </si>
  <si>
    <t>Method</t>
  </si>
  <si>
    <t>Manual</t>
  </si>
  <si>
    <t>Link</t>
  </si>
  <si>
    <t>Van Veen 1954</t>
  </si>
  <si>
    <t>Amsterdam</t>
  </si>
  <si>
    <t>Netherlands</t>
  </si>
  <si>
    <t>1750-1765</t>
  </si>
  <si>
    <t>NA</t>
  </si>
  <si>
    <t>Annual Means</t>
  </si>
  <si>
    <t>277504.pdf</t>
  </si>
  <si>
    <t>Pugh 1982</t>
  </si>
  <si>
    <t>Courttown</t>
  </si>
  <si>
    <t>Ireland</t>
  </si>
  <si>
    <t>January - June 1842, August 1842 - August 1978, August 1979-December 1979</t>
  </si>
  <si>
    <t>Hourly</t>
  </si>
  <si>
    <t>comparison of recent and historical tides and mean sea-levels off Ireland | Geophysical Journal International | Oxford Academic</t>
  </si>
  <si>
    <t>Ballycastle</t>
  </si>
  <si>
    <t>January - June 1842, August 1842 - August 1979, August 1980-December 1980</t>
  </si>
  <si>
    <t>Castletownsend</t>
  </si>
  <si>
    <t>January - June 1842, 1843-June 1977, May-December 1978, August 1978-December 1978</t>
  </si>
  <si>
    <t>Maul and Martin, 1993</t>
  </si>
  <si>
    <t>Key West</t>
  </si>
  <si>
    <t>USA</t>
  </si>
  <si>
    <t>Unspecified</t>
  </si>
  <si>
    <t>Annual means</t>
  </si>
  <si>
    <t>Sea level rise at Key West, Florida, 1846‐1992: America's longest instrument record?</t>
  </si>
  <si>
    <t>Mitchell et al. 1994</t>
  </si>
  <si>
    <t>Neah Bay</t>
  </si>
  <si>
    <t>January-August 1934</t>
  </si>
  <si>
    <t>Monthly means</t>
  </si>
  <si>
    <t>Present‐day vertical deformation of the Cascadia Margin, Pacific Northwest, United States</t>
  </si>
  <si>
    <t>Toke point</t>
  </si>
  <si>
    <t>January-October 1968</t>
  </si>
  <si>
    <t>Astoria</t>
  </si>
  <si>
    <t>Garibaldi</t>
  </si>
  <si>
    <t>January-June 1970, March-December 1981</t>
  </si>
  <si>
    <t>South Beach</t>
  </si>
  <si>
    <t>Charleston</t>
  </si>
  <si>
    <t>January-April 1970</t>
  </si>
  <si>
    <t>Port Oxford</t>
  </si>
  <si>
    <t>January-October 1977</t>
  </si>
  <si>
    <t>Cresent City</t>
  </si>
  <si>
    <t>Woodworth 1999</t>
  </si>
  <si>
    <t>Liverpool Old Dock Gate</t>
  </si>
  <si>
    <t>UK</t>
  </si>
  <si>
    <t>High waters at Liverpool since 1768: the UK's longest sea level record</t>
  </si>
  <si>
    <t>Salthouse Dock</t>
  </si>
  <si>
    <t>Georges Pier</t>
  </si>
  <si>
    <t>Princes Pier</t>
  </si>
  <si>
    <t>Bogdanov et al. 2000</t>
  </si>
  <si>
    <t>Kronstadt</t>
  </si>
  <si>
    <t>Russia</t>
  </si>
  <si>
    <t>Reports of the Finnish Geodetic Institute</t>
  </si>
  <si>
    <t>1778-1805,  1818-1823, 1825-1834</t>
  </si>
  <si>
    <t>Shepelevo</t>
  </si>
  <si>
    <t>Ekman 2003</t>
  </si>
  <si>
    <t>Stockholm</t>
  </si>
  <si>
    <t>Sweden</t>
  </si>
  <si>
    <t>1778-1784, 1792-1800, (1812-1824 missing but recreated with denmark data)</t>
  </si>
  <si>
    <t>ekman_2003.pdf</t>
  </si>
  <si>
    <t>Hunter et al. 2003</t>
  </si>
  <si>
    <t>Port Arthur</t>
  </si>
  <si>
    <t>Australia</t>
  </si>
  <si>
    <t>1843-1874, 1906-1971, 1973-1998</t>
  </si>
  <si>
    <t>The Sea Level at Port Arthur, Tasmania, from 1841 to the Present - Hunter - 2003 - Geophysical Research Letters - Wiley Online Library</t>
  </si>
  <si>
    <t>Caldwell, 2003</t>
  </si>
  <si>
    <t>Cartagena</t>
  </si>
  <si>
    <t>Colombia</t>
  </si>
  <si>
    <t>ESM13/4</t>
  </si>
  <si>
    <t>Tumaco</t>
  </si>
  <si>
    <t>Buenaventura</t>
  </si>
  <si>
    <t>Acajutla</t>
  </si>
  <si>
    <t>El Salvador</t>
  </si>
  <si>
    <t>1972 - 1985</t>
  </si>
  <si>
    <t>Puerto Armuelles</t>
  </si>
  <si>
    <t>Panama</t>
  </si>
  <si>
    <t>Palau</t>
  </si>
  <si>
    <t>Belau</t>
  </si>
  <si>
    <t>Lungsurannaga</t>
  </si>
  <si>
    <t>Borneo</t>
  </si>
  <si>
    <t>Balikpapan</t>
  </si>
  <si>
    <t>Samarinda</t>
  </si>
  <si>
    <t>Pantuan</t>
  </si>
  <si>
    <t>Bayor</t>
  </si>
  <si>
    <t>Pointe-a-Pitre</t>
  </si>
  <si>
    <t>France</t>
  </si>
  <si>
    <t>Belem</t>
  </si>
  <si>
    <t>Brazil</t>
  </si>
  <si>
    <t>Fortaleza</t>
  </si>
  <si>
    <t>Recife</t>
  </si>
  <si>
    <t>Salvador</t>
  </si>
  <si>
    <t>Canavierias</t>
  </si>
  <si>
    <t>Rio de Janeiro</t>
  </si>
  <si>
    <t>Puerto Cortes</t>
  </si>
  <si>
    <t>Honduras</t>
  </si>
  <si>
    <t>Puerto Castilla</t>
  </si>
  <si>
    <t>Port Royal</t>
  </si>
  <si>
    <t>Jamaica</t>
  </si>
  <si>
    <t>Guantanamo</t>
  </si>
  <si>
    <t>Cuba</t>
  </si>
  <si>
    <t>Fajado</t>
  </si>
  <si>
    <t>Bermuda</t>
  </si>
  <si>
    <t xml:space="preserve">British overseas territory </t>
  </si>
  <si>
    <t>Bridgetown</t>
  </si>
  <si>
    <t>Barbados</t>
  </si>
  <si>
    <t>Palmyra</t>
  </si>
  <si>
    <t>La Union</t>
  </si>
  <si>
    <t>Corinto</t>
  </si>
  <si>
    <t>Nicaragua</t>
  </si>
  <si>
    <t>Cristobal</t>
  </si>
  <si>
    <t>Point Fortin</t>
  </si>
  <si>
    <t>Trinidad and Tobago</t>
  </si>
  <si>
    <t>Port- O- Spain</t>
  </si>
  <si>
    <t>Bromirski, Flick and Cayan, 2003</t>
  </si>
  <si>
    <t>Fort Point</t>
  </si>
  <si>
    <t>01/01/1854-31/05/1854, 01/12/1877-31/12/1877</t>
  </si>
  <si>
    <t>Storminess Variability along the California Coast: 1858–2000 in: Journal of Climate Volume 16 Issue 6 (2003)</t>
  </si>
  <si>
    <t>Presidio</t>
  </si>
  <si>
    <t>01/01/187-30/06/1897</t>
  </si>
  <si>
    <t>Hannah 2004</t>
  </si>
  <si>
    <t>Wellington</t>
  </si>
  <si>
    <t>New Zealand</t>
  </si>
  <si>
    <t>An updated analysis of long‐term sea level change in New Zealand - Hannah - 2004 - Geophysical Research Letters - Wiley Online Library</t>
  </si>
  <si>
    <t>Wöpplemann et al. 2006</t>
  </si>
  <si>
    <t>Jardions du Roy</t>
  </si>
  <si>
    <t>Brest sea level record: a time series construction back to the early eighteenth century | Ocean Dynamics</t>
  </si>
  <si>
    <t>Pointe de la Rose</t>
  </si>
  <si>
    <t>1693-1710</t>
  </si>
  <si>
    <t>HLW</t>
  </si>
  <si>
    <t>Bassin du Brest</t>
  </si>
  <si>
    <t>1793-1809, 1811,1838-1850</t>
  </si>
  <si>
    <r>
      <t>la M</t>
    </r>
    <r>
      <rPr>
        <sz val="11"/>
        <color theme="1"/>
        <rFont val="Aptos Narrow"/>
        <family val="2"/>
      </rPr>
      <t>â</t>
    </r>
    <r>
      <rPr>
        <sz val="11"/>
        <color theme="1"/>
        <rFont val="Aptos Narrow"/>
        <family val="2"/>
        <scheme val="minor"/>
      </rPr>
      <t>ture</t>
    </r>
  </si>
  <si>
    <t>1812-1845, 1858-1859, 1945-1952</t>
  </si>
  <si>
    <t>Testut et al. 2006</t>
  </si>
  <si>
    <r>
      <t>Port-aux-Fran</t>
    </r>
    <r>
      <rPr>
        <sz val="11"/>
        <color theme="1"/>
        <rFont val="Aptos Narrow"/>
        <family val="2"/>
      </rPr>
      <t>ç</t>
    </r>
    <r>
      <rPr>
        <sz val="11"/>
        <color theme="1"/>
        <rFont val="Aptos Narrow"/>
        <family val="2"/>
        <scheme val="minor"/>
      </rPr>
      <t>ais</t>
    </r>
  </si>
  <si>
    <t>French Southern and Antartic Lands</t>
  </si>
  <si>
    <t>16/01/1950 - 31/03/1962</t>
  </si>
  <si>
    <t>The sea level at Port-aux-Français, Kerguelen Island, from 1949 to the present | Ocean Dynamics</t>
  </si>
  <si>
    <t>01/09/1962 - 14/03/1963, 15/08/1963 - 25/10/1972</t>
  </si>
  <si>
    <t>Colosi and Munk 2006</t>
  </si>
  <si>
    <t>Honolulu</t>
  </si>
  <si>
    <t>Tales of the Venerable Honolulu Tide Gauge in: Journal of Physical Oceanography Volume 36 Issue 6 (2006)</t>
  </si>
  <si>
    <t>Hilo</t>
  </si>
  <si>
    <t>Battistin and Canestrelli, 2006</t>
  </si>
  <si>
    <t>Genio.Civ</t>
  </si>
  <si>
    <t>Italy</t>
  </si>
  <si>
    <t>11/03/1875,01/04/1875-01/06/1875, 15/07/1877 28/09/1878,03/10/1878-04/10/1878,27/02/1880,17/03/1880,19/06/1880,29/08/1881,19/11/1884,30/11/1884,07/03/1885,28/03/1885,10/08/1885,04/10/1885,21/11/1886,19/12/1886, 07/01/1888,30/01/1888,16/02/1888-17/02/1888,23/02/1888,22/04/1888-23/04/1888,16/06/1888,29/06/1888,16/07/1888-17/07/1888,22/07/1888,26/12/1888-27/12/1888,27/02/1889,09/04/1889-10/04/1889,07/06/1889,09/07/1889-10/07/1889,20/07/1889,08/05/1890,25/05/1890,22/06/1890,20/10/1890-21/10/1890,26/10/1890-27/10/1890,04/02/1891,20/04/1891-30/04/1891,01/05/1891-15/05/1891,29/05/1891,06/06/1891-08/06/1891,05/09/1891-07/09/1891,11/07/1892-16/07/1892,01/01/1893-03/01/1893,15/02/1893,31/01/1894,03/03/1894,25/06/1894,01/09/1895-03/09/1895,07/12/1895-09/12/1895,08/01/1896-09/01/1896,10/03/1896-12/03/1896,20/03/1896-23/03/1896,13/04/1896-14/04/1896,22/04/1896, 03/08/1896-04/08/1896,18/08/1896,22/08/1896,22/12/1896-23/12/1896,01/04/1897-31/12/1897</t>
  </si>
  <si>
    <t>BinP - Libraries in Polo | 1872-2004 : the historical series of tides in Venice</t>
  </si>
  <si>
    <t>S.Stefano</t>
  </si>
  <si>
    <t>01/01/1897-31/03/1897,22/04/1897-23/04/1897,25/05/1897,15/06/1897-17/06/1897,20/12/1897-21/12/1897,23/12/1897,02/06/1898-08/06/1898,23/06/1898-25/06/1898,30/07/1898-31/07/1898,01/08/1898-06/08/1898,12/08/1898,21/12/1898-24/12/1898,31/03/1899-01/04/1899,01/05/1899-08/05/1899,17/06/1899-19/06/1899,30/06/1899,01/07/1899,06/07/1899-07/07/1899,27/07/1899-29/07/1899,07/10/1899-13/10/1899,01/01/1909-31/12/1910,03/10/1911,01/01/1912-31/12/1918</t>
  </si>
  <si>
    <t>Punta delta Salute</t>
  </si>
  <si>
    <t>25/02/1909-28/02/1909, 19/05/1909, 17/06/1909-18/06/1909,24/06/1909-26/06/1909,22/08/1909,16/11/909,29/10/1910-31/10/1910,01/01/1911-02/01/1911,01/05/1911-31/12/1911,01/01/1912-05/01/1912, 07/06/1914-09/06/1914,28/06/1914-30/06/1914,01/01/1919-31/12/1919,01/01/1921-31/12/1921,30/03/1922-30/04/1922,02/06/1922,27/06/1922-31/12/1922,19/01/1923, 27/04/1923,03/05/1923-04/05/1923,19/05/1923-20/05/1923,05/06/1923,17/06/1923,28/06/1923-03/07/1923,09/07/1923,18/07/1923-25/07/1923,28/07/1923</t>
  </si>
  <si>
    <t>Arsenal</t>
  </si>
  <si>
    <t>01/01/1910-31/10/1910</t>
  </si>
  <si>
    <t>Diga Sud Lido</t>
  </si>
  <si>
    <t>01/07/1914,05/07/1914-07/07/1914,31/07/1914,31/10/1914,01/01/1915-31/12/1918,28/05/1919-31/05/1919,30/06/1919,17/07/1919,26/07/1919-29/07/1919,10/04/1920,02/05/1920-06/05/1920</t>
  </si>
  <si>
    <t>Rio Guerre</t>
  </si>
  <si>
    <t>01/01/1916-31/07/1916</t>
  </si>
  <si>
    <t>Malamocco</t>
  </si>
  <si>
    <t>01/01/1919-31/05/1919,01/07/1919-31/12/1919</t>
  </si>
  <si>
    <t>Raicich 2007</t>
  </si>
  <si>
    <t>Molo Sartorio</t>
  </si>
  <si>
    <t>A Study of Early Trieste Sea Level Data (1875-1914) on JSTOR</t>
  </si>
  <si>
    <t>Pirazzoli et al 2007</t>
  </si>
  <si>
    <t>Trieste</t>
  </si>
  <si>
    <t>NUNIEAU</t>
  </si>
  <si>
    <t>Extreme sea levels in two northern Mediterranean areas</t>
  </si>
  <si>
    <t>Oceanographic Platform</t>
  </si>
  <si>
    <t>Port-Vendres</t>
  </si>
  <si>
    <t>Sete</t>
  </si>
  <si>
    <t>Ullmann et al. 2007</t>
  </si>
  <si>
    <t>Grau-de-la-Dent</t>
  </si>
  <si>
    <t>Sea surges in Camargue: Trends over the 20th century - ScienceDirect</t>
  </si>
  <si>
    <t>Haigh et al. 2009</t>
  </si>
  <si>
    <t>St Marys</t>
  </si>
  <si>
    <t>Mean sea level trends around the English Channel over the 20th century and their wider context - ScienceDirect</t>
  </si>
  <si>
    <t>Devonport</t>
  </si>
  <si>
    <t>Weymouth</t>
  </si>
  <si>
    <t>Southampton</t>
  </si>
  <si>
    <t>1951-1966, 1980-1981</t>
  </si>
  <si>
    <t>Portsmouth</t>
  </si>
  <si>
    <t>Testut et al. 2010</t>
  </si>
  <si>
    <t>Saint Paul Island</t>
  </si>
  <si>
    <t>Sea level at Saint Paul Island, southern Indian Ocean, from 1874 to the present - Testut - 2010 - Journal of Geophysical Research: Oceans - Wiley Online Library</t>
  </si>
  <si>
    <t>Woodworth et al. 2010</t>
  </si>
  <si>
    <t>Port Louis</t>
  </si>
  <si>
    <t>01/01/1842 - 09/05/1842, 16/12/1842-31/12/1842</t>
  </si>
  <si>
    <t>Long‐term and recent changes in sea level in the Falkland Islands - Woodworth - 2010 - Journal of Geophysical Research: Oceans - Wiley Online Library</t>
  </si>
  <si>
    <r>
      <t xml:space="preserve">Watson </t>
    </r>
    <r>
      <rPr>
        <b/>
        <i/>
        <sz val="11"/>
        <color theme="1"/>
        <rFont val="Aptos Narrow"/>
        <family val="2"/>
        <scheme val="minor"/>
      </rPr>
      <t>et al.</t>
    </r>
    <r>
      <rPr>
        <b/>
        <sz val="11"/>
        <color theme="1"/>
        <rFont val="Aptos Narrow"/>
        <family val="2"/>
        <scheme val="minor"/>
      </rPr>
      <t xml:space="preserve"> 2010</t>
    </r>
  </si>
  <si>
    <t>Macquarie Island</t>
  </si>
  <si>
    <t xml:space="preserve">01/01/1912 - 31/07/1912, 01/06/1913-31/12/1913 </t>
  </si>
  <si>
    <t>Twentieth century constraints on sea level change and earthquake deformation at Macquarie Island | Geophysical Journal International | Oxford Academic</t>
  </si>
  <si>
    <t>Marcos et al. 2011</t>
  </si>
  <si>
    <t>Cadiz</t>
  </si>
  <si>
    <t>Spain</t>
  </si>
  <si>
    <t>Daily Average</t>
  </si>
  <si>
    <t>The long sea level record at Cadiz (southern Spain) from 1880 to 2009 - Marcos - 2011 - Journal of Geophysical Research: Oceans - Wiley Online Library</t>
  </si>
  <si>
    <t>Woodworth et al. 2012</t>
  </si>
  <si>
    <t>Ascension Island</t>
  </si>
  <si>
    <t>01/01/1955 - 22/02/1955, 23/03/1955-31/12/1955</t>
  </si>
  <si>
    <t>Sea level changes at Ascension Island in the last half century: African Journal of Marine Science: Vol 34, No 3</t>
  </si>
  <si>
    <t>Labbé et al. 2012</t>
  </si>
  <si>
    <t>Nice</t>
  </si>
  <si>
    <t>All days except 16/10/1979</t>
  </si>
  <si>
    <t>1-minute</t>
  </si>
  <si>
    <t>Refined numerical modeling of the 1979 tsunami in Nice (French Riviera): Comparison with coastal data - Labbé - 2012 - Journal of Geophysical Research: Earth Surface - Wiley Online Library</t>
  </si>
  <si>
    <t>Villefranche</t>
  </si>
  <si>
    <t>Marcos et al. 2013</t>
  </si>
  <si>
    <t>Santa Cruz harbour (Southern Pier)</t>
  </si>
  <si>
    <t>Sea level changes at Tenerife Island (NE Tropical Atlantic) since 1927 - Marcos - 2013 - Journal of Geophysical Research: Oceans - Wiley Online Library</t>
  </si>
  <si>
    <t>Santa Cruz harbour (Northern Pier)</t>
  </si>
  <si>
    <t>Santa Cruz harbour (secondary)</t>
  </si>
  <si>
    <t>Araújo et al. 2013</t>
  </si>
  <si>
    <r>
      <t>Leix</t>
    </r>
    <r>
      <rPr>
        <sz val="11"/>
        <color rgb="FF000000"/>
        <rFont val="Aptos Narrow"/>
        <family val="2"/>
      </rPr>
      <t>õ</t>
    </r>
    <r>
      <rPr>
        <sz val="11"/>
        <color rgb="FF000000"/>
        <rFont val="Aptos"/>
        <family val="2"/>
      </rPr>
      <t>es Port</t>
    </r>
  </si>
  <si>
    <t>Portugal</t>
  </si>
  <si>
    <t>1893-1913, 1943-1955</t>
  </si>
  <si>
    <t>Custom made software</t>
  </si>
  <si>
    <t>https://www.sciencedirect.com/science/article/pii/S002216941201092X#s0010</t>
  </si>
  <si>
    <t>Gouriou et al. 2013</t>
  </si>
  <si>
    <t>La Rochelle, Vieux Port</t>
  </si>
  <si>
    <t>1825- 1863</t>
  </si>
  <si>
    <t>Reconstruction of a two-century long sea level record for the Pertuis d’Antioche (France) - ScienceDirect</t>
  </si>
  <si>
    <t>La Pallice</t>
  </si>
  <si>
    <t>1893-1940, 1945-1966, 1981- 1994</t>
  </si>
  <si>
    <t>Ile d'Aix</t>
  </si>
  <si>
    <t>1825 – 1972</t>
  </si>
  <si>
    <t>Fort Enet</t>
  </si>
  <si>
    <t>Fort Boyard</t>
  </si>
  <si>
    <t>Dagenhof et al. 2013</t>
  </si>
  <si>
    <t>Cuxhaven</t>
  </si>
  <si>
    <t>Germany</t>
  </si>
  <si>
    <t>Characteristics of intra-, inter-annual and decadal sea-level variability and the role of meteorological forcing: the long record of Cuxhaven | Ocean Dynamics</t>
  </si>
  <si>
    <t>Talke and Jay 2013</t>
  </si>
  <si>
    <t>Yamba</t>
  </si>
  <si>
    <t>Nineteenth Century North American and Pacific Tidal Data: Lost or Just Forgotten? | Journal of Coastal Research</t>
  </si>
  <si>
    <t>Hobart</t>
  </si>
  <si>
    <t>Ballina</t>
  </si>
  <si>
    <t>Brisbane</t>
  </si>
  <si>
    <t>Cairns</t>
  </si>
  <si>
    <t>1961-1965, 1977, 1979-1981</t>
  </si>
  <si>
    <t>Westport</t>
  </si>
  <si>
    <t>Lyttleton</t>
  </si>
  <si>
    <t>Ayukawa</t>
  </si>
  <si>
    <t>Japan</t>
  </si>
  <si>
    <t>Hanasaki</t>
  </si>
  <si>
    <t>Yokohama</t>
  </si>
  <si>
    <t>Seattle</t>
  </si>
  <si>
    <t>1891-1892</t>
  </si>
  <si>
    <t>Isle de Naos</t>
  </si>
  <si>
    <t>Talke et al. 2014</t>
  </si>
  <si>
    <t>Governors Island</t>
  </si>
  <si>
    <t>1873, 1880-1884</t>
  </si>
  <si>
    <t>Marigram</t>
  </si>
  <si>
    <t>Increasing storm tides in New York Harbor, 1844–2013 - Talke - 2014 - Geophysical Research Letters - Wiley Online Library</t>
  </si>
  <si>
    <t>Hamilton ferry dock in Brooklyn</t>
  </si>
  <si>
    <t>Sandy Hook</t>
  </si>
  <si>
    <t>1874-1875, 1886-1887</t>
  </si>
  <si>
    <t>Fort Hamilton</t>
  </si>
  <si>
    <t>Dock A</t>
  </si>
  <si>
    <t>Annual Max</t>
  </si>
  <si>
    <t>Barge Office</t>
  </si>
  <si>
    <t>Wöppelmann et al. 2014</t>
  </si>
  <si>
    <t>Chazallon</t>
  </si>
  <si>
    <t>Rescue of the historical sea level record of Marseille (France) from 1885 to 1988 and its extension back to 1849–1851 | Journal of Geodesy</t>
  </si>
  <si>
    <t>Totalisateur</t>
  </si>
  <si>
    <t>1909, 1913, 1921, 1924</t>
  </si>
  <si>
    <t>Hogarth et al. 2014</t>
  </si>
  <si>
    <t>Swinoujscie</t>
  </si>
  <si>
    <t>Poland</t>
  </si>
  <si>
    <t>Data taken from PSMSL</t>
  </si>
  <si>
    <t>Monthly Average</t>
  </si>
  <si>
    <t>Extended_PSMSL_Table_26-10-2012.pdf</t>
  </si>
  <si>
    <t>Helsinki</t>
  </si>
  <si>
    <t>Finland</t>
  </si>
  <si>
    <t>Lyokki</t>
  </si>
  <si>
    <t>Lypyrtti</t>
  </si>
  <si>
    <t>Jungfrusund</t>
  </si>
  <si>
    <t>Hellevoetsluis</t>
  </si>
  <si>
    <t>Den Helder</t>
  </si>
  <si>
    <t>Delfzijl</t>
  </si>
  <si>
    <t>Soderskar</t>
  </si>
  <si>
    <t>Nedre Sodertalje</t>
  </si>
  <si>
    <t>Zierikzee</t>
  </si>
  <si>
    <t>Brouwershaven</t>
  </si>
  <si>
    <t>Venezia (San Stefano)</t>
  </si>
  <si>
    <t>San Stefano</t>
  </si>
  <si>
    <t>Sevastopol</t>
  </si>
  <si>
    <t>Ukraine</t>
  </si>
  <si>
    <t>Mumbai/Bombay</t>
  </si>
  <si>
    <t>India</t>
  </si>
  <si>
    <t>Aden</t>
  </si>
  <si>
    <t>Yemen</t>
  </si>
  <si>
    <t>Kabelvag</t>
  </si>
  <si>
    <t>Norway</t>
  </si>
  <si>
    <t>Stavanger</t>
  </si>
  <si>
    <t>Cascais</t>
  </si>
  <si>
    <t>Vaasa</t>
  </si>
  <si>
    <t>Bergen</t>
  </si>
  <si>
    <t>Oslo</t>
  </si>
  <si>
    <t>Gdansk / Nowy Port</t>
  </si>
  <si>
    <t>Sydney</t>
  </si>
  <si>
    <t>Landsort</t>
  </si>
  <si>
    <t>Hanko/Hango</t>
  </si>
  <si>
    <t>Ystad</t>
  </si>
  <si>
    <t>Varberg</t>
  </si>
  <si>
    <t>Mem</t>
  </si>
  <si>
    <t>Bjorn</t>
  </si>
  <si>
    <t>Tonoura</t>
  </si>
  <si>
    <t>Halifax</t>
  </si>
  <si>
    <t>Canada</t>
  </si>
  <si>
    <t>Nedre Gavle</t>
  </si>
  <si>
    <t>Klaipeda</t>
  </si>
  <si>
    <t>Lithuania</t>
  </si>
  <si>
    <t>Hornbaek</t>
  </si>
  <si>
    <t>Denmark</t>
  </si>
  <si>
    <t>Gedser</t>
  </si>
  <si>
    <t>Draghallan</t>
  </si>
  <si>
    <t>Aburatsubo</t>
  </si>
  <si>
    <t>Wajima</t>
  </si>
  <si>
    <t>Hosojima</t>
  </si>
  <si>
    <t>Kushimoto</t>
  </si>
  <si>
    <t>Dunedin</t>
  </si>
  <si>
    <t>Fukabori</t>
  </si>
  <si>
    <t>Manila</t>
  </si>
  <si>
    <t>Philippines</t>
  </si>
  <si>
    <t>Auckland II</t>
  </si>
  <si>
    <t>Kaohsiung</t>
  </si>
  <si>
    <t>Taiwan</t>
  </si>
  <si>
    <t>Keelung</t>
  </si>
  <si>
    <t>Buenos Aires</t>
  </si>
  <si>
    <t>Argentia</t>
  </si>
  <si>
    <t>Lagos</t>
  </si>
  <si>
    <t>Balboa</t>
  </si>
  <si>
    <t>Tofino</t>
  </si>
  <si>
    <t>Victoria</t>
  </si>
  <si>
    <t>Mantyluoto</t>
  </si>
  <si>
    <t xml:space="preserve">Quebec </t>
  </si>
  <si>
    <t>Vancouver</t>
  </si>
  <si>
    <t>Smogen</t>
  </si>
  <si>
    <t>Pietarsaari / Jakobstad</t>
  </si>
  <si>
    <t>Saint John N.B.</t>
  </si>
  <si>
    <t>Furuogrund</t>
  </si>
  <si>
    <t xml:space="preserve">Karachi </t>
  </si>
  <si>
    <t>Pakistan</t>
  </si>
  <si>
    <t>Chennai</t>
  </si>
  <si>
    <t>Quequen</t>
  </si>
  <si>
    <t>Argentina</t>
  </si>
  <si>
    <t xml:space="preserve">Ketchikan </t>
  </si>
  <si>
    <t>Foglo/Degerby</t>
  </si>
  <si>
    <t>Åland Islands</t>
  </si>
  <si>
    <t>Lyttelton II</t>
  </si>
  <si>
    <t>Narvik</t>
  </si>
  <si>
    <t>Hamina</t>
  </si>
  <si>
    <t>Tallinn</t>
  </si>
  <si>
    <t>Estonia</t>
  </si>
  <si>
    <t>Oostende</t>
  </si>
  <si>
    <t>Belgium</t>
  </si>
  <si>
    <t>Visakhaptanam</t>
  </si>
  <si>
    <t>Cochin</t>
  </si>
  <si>
    <t>Port Adelaide</t>
  </si>
  <si>
    <t>Kolobrzeg</t>
  </si>
  <si>
    <t>Newcastle NSW</t>
  </si>
  <si>
    <t>Polyarniy</t>
  </si>
  <si>
    <t>Nedre Stockholm</t>
  </si>
  <si>
    <t>Goteborg-Ringon</t>
  </si>
  <si>
    <t>Hansweert</t>
  </si>
  <si>
    <t>Terneuzen</t>
  </si>
  <si>
    <t>Murdy et al. 2015</t>
  </si>
  <si>
    <t>Tide gauge 1 (Belfast)</t>
  </si>
  <si>
    <t>UnGraph (Digitisation software)</t>
  </si>
  <si>
    <t>Continuous</t>
  </si>
  <si>
    <t>(PDF) Maintaining legacy data: Saving Belfast Harbour (UK) tide-gauge data (1901–2010)</t>
  </si>
  <si>
    <t>Tide gauge 2 (Belfast)</t>
  </si>
  <si>
    <t>Tide gauge 3 (Belfast)</t>
  </si>
  <si>
    <t>Tide gauge 4 (Belfast)</t>
  </si>
  <si>
    <t>Ferret et al. 2016</t>
  </si>
  <si>
    <t>Lightouse (Saint Nazaire)</t>
  </si>
  <si>
    <t>1822-1852,1854-1862,1921-1924</t>
  </si>
  <si>
    <t>Hourly, 15min</t>
  </si>
  <si>
    <t>27-2016 Rapport_Final_Reconstruction_serie_SaintNazaire</t>
  </si>
  <si>
    <t>1935, 1938-1941, 1945-1950</t>
  </si>
  <si>
    <t xml:space="preserve">NUNIEAU </t>
  </si>
  <si>
    <t>5min</t>
  </si>
  <si>
    <t>Familkhalili and Talke 2016</t>
  </si>
  <si>
    <t>Southport</t>
  </si>
  <si>
    <t>1925-1932,1955-1975</t>
  </si>
  <si>
    <t>The effect of channel deepening on tides and storm surge: A case study of Wilmington, NC - Familkhalili - 2016 - Geophysical Research Letters - Wiley Online Library</t>
  </si>
  <si>
    <t>Wilmington</t>
  </si>
  <si>
    <t>1889,1892-1907,1913-1934</t>
  </si>
  <si>
    <t>Talke and Jay 2017</t>
  </si>
  <si>
    <t>Eastport</t>
  </si>
  <si>
    <t>HLW, Hourly</t>
  </si>
  <si>
    <t>Archival Water-Level Measurements: Recovering Historical Data to Help Design for the Future</t>
  </si>
  <si>
    <t xml:space="preserve">Pulpit Harbour </t>
  </si>
  <si>
    <t>1887-1944</t>
  </si>
  <si>
    <t>Providence</t>
  </si>
  <si>
    <t>Fort Schulyer</t>
  </si>
  <si>
    <t>Willets point</t>
  </si>
  <si>
    <t>1893-1930</t>
  </si>
  <si>
    <t>Battery</t>
  </si>
  <si>
    <t>1922-1926</t>
  </si>
  <si>
    <t>Perth Amboy</t>
  </si>
  <si>
    <t>Old Point Comfort</t>
  </si>
  <si>
    <t>1879-1917, 1920-1936, 1956-1970</t>
  </si>
  <si>
    <t>Norfolk</t>
  </si>
  <si>
    <t>1830-1871, 1874-1890</t>
  </si>
  <si>
    <t>1856-1922, 1927-1932</t>
  </si>
  <si>
    <t>Charlston</t>
  </si>
  <si>
    <t>1862 – 1881</t>
  </si>
  <si>
    <t>Miami Beach</t>
  </si>
  <si>
    <t>1952-1953</t>
  </si>
  <si>
    <t>Red River Landing</t>
  </si>
  <si>
    <t>Bayou Sara</t>
  </si>
  <si>
    <t>Baton rouge</t>
  </si>
  <si>
    <t>Plaquemines</t>
  </si>
  <si>
    <t>Donaldsville</t>
  </si>
  <si>
    <t>College Point</t>
  </si>
  <si>
    <t>Fort Jackson</t>
  </si>
  <si>
    <t>Carrollton</t>
  </si>
  <si>
    <t>Algiers</t>
  </si>
  <si>
    <t>East Bay</t>
  </si>
  <si>
    <t>Biloxi</t>
  </si>
  <si>
    <t>1856-1880, 1884- 1895</t>
  </si>
  <si>
    <t>Galvston</t>
  </si>
  <si>
    <t>1854- 1887</t>
  </si>
  <si>
    <t>Sacaramento</t>
  </si>
  <si>
    <t>1863-1881</t>
  </si>
  <si>
    <t>Sausalito</t>
  </si>
  <si>
    <t>1898 – 1951</t>
  </si>
  <si>
    <t>San Francisco</t>
  </si>
  <si>
    <t>San Diego</t>
  </si>
  <si>
    <t>Santa Monica</t>
  </si>
  <si>
    <t xml:space="preserve">Port Townsend </t>
  </si>
  <si>
    <t>1856-1872, 1878-1932, 1936-1950</t>
  </si>
  <si>
    <t>Portland</t>
  </si>
  <si>
    <t>Kelly Point</t>
  </si>
  <si>
    <t>Sitka</t>
  </si>
  <si>
    <t>1895 – 1924</t>
  </si>
  <si>
    <t>Kodiak</t>
  </si>
  <si>
    <t>1892 – 1905, 1910-1917, 1920-1934, 1937 – 1948</t>
  </si>
  <si>
    <t>Unalaska</t>
  </si>
  <si>
    <t>1940 – 1945</t>
  </si>
  <si>
    <t>Adak</t>
  </si>
  <si>
    <t>Port Simpson</t>
  </si>
  <si>
    <t>Columbia River</t>
  </si>
  <si>
    <t>Talk et al. 2018</t>
  </si>
  <si>
    <t>Boston tide gauge</t>
  </si>
  <si>
    <t>Relative Sea Level, Tides, and Extreme Water Levels in Boston Harbor From 1825 to 2018 - Talke - 2018 - Journal of Geophysical Research: Oceans - Wiley Online Library</t>
  </si>
  <si>
    <t>Baldwin data</t>
  </si>
  <si>
    <t>US Navy data</t>
  </si>
  <si>
    <t>US coast survey</t>
  </si>
  <si>
    <t>Dry dock construction</t>
  </si>
  <si>
    <t>Ralston et al. 2018</t>
  </si>
  <si>
    <t>Albany</t>
  </si>
  <si>
    <t>Bigger Tides, Less Flooding: Effects of Dredging on Barotropic Dynamics in a Highly Modified Estuary - Ralston - 2019 - Journal of Geophysical Research: Oceans - Wiley Online Library</t>
  </si>
  <si>
    <t>Chant et al. 2018</t>
  </si>
  <si>
    <t>Port Elizabeth</t>
  </si>
  <si>
    <t>Impact of Channel Deepening on Tidal and Gravitational Circulation in a Highly Engineered Estuarine Basin | Estuaries and Coasts</t>
  </si>
  <si>
    <t>Port Newark</t>
  </si>
  <si>
    <t>1920-1951</t>
  </si>
  <si>
    <t>Gregory Avenue</t>
  </si>
  <si>
    <t>1940-1957</t>
  </si>
  <si>
    <t>Montclair Bridge</t>
  </si>
  <si>
    <t>Constable Hook</t>
  </si>
  <si>
    <t>Staten Island Ferry Dock</t>
  </si>
  <si>
    <t>Bruni et al. 2019</t>
  </si>
  <si>
    <t>Tide gauge 1 (Canale Candio)</t>
  </si>
  <si>
    <t>1922-1933</t>
  </si>
  <si>
    <t>Rescue of the 1873–1922 high and low waters of the Porto Corsini/Marina di Ravenna (northern Adriatic, Italy) tide gauge | Journal of Geodesy</t>
  </si>
  <si>
    <t>Tide gauge 2 (Canale Candio)</t>
  </si>
  <si>
    <t>1944-1946</t>
  </si>
  <si>
    <t>Tide gauge 3 (Canale Candio)</t>
  </si>
  <si>
    <t>Ray and Talke, 2019</t>
  </si>
  <si>
    <t>1865-1886, 1888-1889, various months missing in the record</t>
  </si>
  <si>
    <t>HLW, 30min</t>
  </si>
  <si>
    <t>Nineteenth‐Century Tides in the Gulf of Maine and Implications for Secular Trends - Ray - 2019 - Journal of Geophysical Research: Oceans - Wiley Online Library</t>
  </si>
  <si>
    <t>01/01/1864-31/07/1864, 01/11/1866-31/12/1866</t>
  </si>
  <si>
    <t>HLW, hourly</t>
  </si>
  <si>
    <t>01/04/1888-1945, 01/01/1945-30/06/1945</t>
  </si>
  <si>
    <t>Hourly, 30min</t>
  </si>
  <si>
    <t xml:space="preserve">Hogarth et al. 2020 </t>
  </si>
  <si>
    <t>Lerwick</t>
  </si>
  <si>
    <t>Improved and extended tide gauge records for the British Isles leading to more consistent estimates of sea level rise and acceleration since 1958 - ScienceDirect</t>
  </si>
  <si>
    <t>Wick</t>
  </si>
  <si>
    <t>Invergordon</t>
  </si>
  <si>
    <t>Aberdeen</t>
  </si>
  <si>
    <t>Rosyth</t>
  </si>
  <si>
    <t>Leith</t>
  </si>
  <si>
    <t>Blyth</t>
  </si>
  <si>
    <t>North Shields</t>
  </si>
  <si>
    <t>Whitby</t>
  </si>
  <si>
    <t>Immingham</t>
  </si>
  <si>
    <t>Cromer</t>
  </si>
  <si>
    <t>Lowestoft</t>
  </si>
  <si>
    <t>Harwich</t>
  </si>
  <si>
    <t>Southend</t>
  </si>
  <si>
    <t>Tilbury</t>
  </si>
  <si>
    <t>Tower Pier</t>
  </si>
  <si>
    <t>Sheerness</t>
  </si>
  <si>
    <t>Dover</t>
  </si>
  <si>
    <t>Newlyn</t>
  </si>
  <si>
    <t>Ilfracombe</t>
  </si>
  <si>
    <t>Avonmouth</t>
  </si>
  <si>
    <t>Swansea</t>
  </si>
  <si>
    <t>Milford Haven</t>
  </si>
  <si>
    <t>Fishguard</t>
  </si>
  <si>
    <t>Holyhead</t>
  </si>
  <si>
    <t>Dublin</t>
  </si>
  <si>
    <t>Liverpool</t>
  </si>
  <si>
    <t>Heysham</t>
  </si>
  <si>
    <t>Douglas</t>
  </si>
  <si>
    <t>Portpatrick</t>
  </si>
  <si>
    <t>Belfast</t>
  </si>
  <si>
    <t>Millport</t>
  </si>
  <si>
    <t>Malin Head</t>
  </si>
  <si>
    <t>Tobermory</t>
  </si>
  <si>
    <t>Ullapool</t>
  </si>
  <si>
    <t>Stornoway</t>
  </si>
  <si>
    <t>Talke et al. 2020</t>
  </si>
  <si>
    <t>6min, hourly</t>
  </si>
  <si>
    <t>Sea Level, Tidal, and River Flow Trends in the Lower Columbia River Estuary, 1853–present - Talke - 2020 - Journal of Geophysical Research: Oceans - Wiley Online Library</t>
  </si>
  <si>
    <t>1868-1870</t>
  </si>
  <si>
    <t>Astoria tongue point</t>
  </si>
  <si>
    <t xml:space="preserve">Manual </t>
  </si>
  <si>
    <t>Fort Stevens</t>
  </si>
  <si>
    <t>1907-1912,1914-1925,1927-1935,1937-1939,1943-1957,1959-1980</t>
  </si>
  <si>
    <t>Astoria Youngs Bay</t>
  </si>
  <si>
    <t>Dunkerque</t>
  </si>
  <si>
    <t>1703-1800,1802-1834</t>
  </si>
  <si>
    <t>Influence des modifications morphologiques de l'avant-côte sur l'hydrodynamisme et l'évolution du littoral des Hauts-de-France depuis le XIXe siècle - TEL - Thèses en ligne</t>
  </si>
  <si>
    <t>1876-1878,1880-1893,1895-1899, 1902-1909, 1912-1929, 1931, 1934-1940</t>
  </si>
  <si>
    <t>Calais</t>
  </si>
  <si>
    <t>1880-1910,1912-1931,1934-1939</t>
  </si>
  <si>
    <t>Boulogne</t>
  </si>
  <si>
    <t>1836-1854</t>
  </si>
  <si>
    <t>1856-1875, 1877, 1879-1908, 1910, 1912-1929, 1931-1933, 1937-1940</t>
  </si>
  <si>
    <t>Marcos et al. 2021</t>
  </si>
  <si>
    <t>Tidal Pole (Outer harbour)</t>
  </si>
  <si>
    <t>6hr</t>
  </si>
  <si>
    <t>Historical tide gauge sea‐level observations in Alicante and Santander (Spain) since the 19th century - Marcos - 2021 - Geoscience Data Journal - Wiley Online Library</t>
  </si>
  <si>
    <t>Adie (Outer harbour)</t>
  </si>
  <si>
    <t>07/1911-08/1914</t>
  </si>
  <si>
    <t>Daily average</t>
  </si>
  <si>
    <t>Thomson floating gauge (Outer harbour)</t>
  </si>
  <si>
    <t>04/1939 - 05/1943, 07/1946 - 03/1950, 1963 -1964, 1966 - 1967</t>
  </si>
  <si>
    <t>OTT (mechanical recorder)</t>
  </si>
  <si>
    <t>15 min</t>
  </si>
  <si>
    <t>Alicante II (Inner harbour)</t>
  </si>
  <si>
    <t>Adie (Santander)</t>
  </si>
  <si>
    <t>1915-1919</t>
  </si>
  <si>
    <t>Mier (Santander)</t>
  </si>
  <si>
    <t xml:space="preserve">Iglesias (Santander) </t>
  </si>
  <si>
    <t>Inyatalliah et al. 2021</t>
  </si>
  <si>
    <t>Poole Bridge</t>
  </si>
  <si>
    <t>1939-1978</t>
  </si>
  <si>
    <t>Specalised Algorthim</t>
  </si>
  <si>
    <t>Continuous, weekly max</t>
  </si>
  <si>
    <t>Digitisation and Analysis of Poole Harbour Tide Gauge Record</t>
  </si>
  <si>
    <t>Custom House</t>
  </si>
  <si>
    <t>1980,1989, 1991</t>
  </si>
  <si>
    <t>Weekly Max</t>
  </si>
  <si>
    <t>Talke et al. 2021</t>
  </si>
  <si>
    <t>Mayport</t>
  </si>
  <si>
    <t>The Influence of Channel Deepening on Tides, River Discharge Effects, and Storm Surge - Talke - 2021 - Journal of Geophysical Research: Oceans - Wiley Online Library</t>
  </si>
  <si>
    <t>Acosta Bridge</t>
  </si>
  <si>
    <t xml:space="preserve">Longbranch </t>
  </si>
  <si>
    <t>1936-1952</t>
  </si>
  <si>
    <t xml:space="preserve">US Army engineers </t>
  </si>
  <si>
    <t>1880-1888, 1890-1891</t>
  </si>
  <si>
    <t>Pugh et al. 2021</t>
  </si>
  <si>
    <t>Passage West (Cork)</t>
  </si>
  <si>
    <t>OS - Mean sea level and tidal change in Ireland since 1842: a case study of Cork</t>
  </si>
  <si>
    <t>Cobh</t>
  </si>
  <si>
    <t>Alcántara et al. 2022</t>
  </si>
  <si>
    <t>Genoa</t>
  </si>
  <si>
    <t>(PDF) Reconstruction of Mediterranean coastal sea level at different timescales based on tide gauge records</t>
  </si>
  <si>
    <t>Algeciras</t>
  </si>
  <si>
    <t>Cagliari</t>
  </si>
  <si>
    <t>Ceuta</t>
  </si>
  <si>
    <t>Málaga</t>
  </si>
  <si>
    <t>Monaco</t>
  </si>
  <si>
    <t>Porto Maurizio</t>
  </si>
  <si>
    <t>Tarifa</t>
  </si>
  <si>
    <t>Villa Sanjurjo</t>
  </si>
  <si>
    <t>Morocco</t>
  </si>
  <si>
    <t>Inyatalliah et al. 2022</t>
  </si>
  <si>
    <t>Walton-on-Naze</t>
  </si>
  <si>
    <t>Digitising historical sea level records in the Thames Estuary, UK - ProQuest</t>
  </si>
  <si>
    <t>Margate Harbour</t>
  </si>
  <si>
    <t>Shivering Sand</t>
  </si>
  <si>
    <t>Coryton</t>
  </si>
  <si>
    <t>Gallions Pier (Albert Dock)</t>
  </si>
  <si>
    <t>1936-1975</t>
  </si>
  <si>
    <t>Silertown (North Woolwich)</t>
  </si>
  <si>
    <t>Cherry Garden Pier</t>
  </si>
  <si>
    <t>Old Swan Pier</t>
  </si>
  <si>
    <t>All Hallows Pier</t>
  </si>
  <si>
    <t>Temple Pier</t>
  </si>
  <si>
    <t>Strand-on-Green</t>
  </si>
  <si>
    <t>Richmond</t>
  </si>
  <si>
    <t>Khan et al. 2023</t>
  </si>
  <si>
    <t>Socoa</t>
  </si>
  <si>
    <t xml:space="preserve">06/1944-12/1950, 2002-2003 </t>
  </si>
  <si>
    <t>Hourly, 5min</t>
  </si>
  <si>
    <t>Extension of a high temporal resolution sea level time series at Socoa (Saint-Jean-de-Luz, France) back to 1875</t>
  </si>
  <si>
    <t>Yéo et al. 2023</t>
  </si>
  <si>
    <t>Quai Nord</t>
  </si>
  <si>
    <t>Ivory Coast</t>
  </si>
  <si>
    <t>Evolutive Trend of Water Level in the Ebrie Lagoon by Reconstitution of the Tide Gauge Time Series in Front of the Abidjan Coastline (Côte d’Ivoire)</t>
  </si>
  <si>
    <t>McInnes et al. 2024</t>
  </si>
  <si>
    <t>Williamstown</t>
  </si>
  <si>
    <t>1946-1949</t>
  </si>
  <si>
    <t>plotdigitiser (Digitisation Software)</t>
  </si>
  <si>
    <t>Digitizing the Williamstown, Australia Tide‐Gauge Record Back to 1872: Insights Into Changing Extremes - McInnes - 2024 - Journal of Geophysical Research: Oceans - Wiley Online Library</t>
  </si>
  <si>
    <t>1940-1943</t>
  </si>
  <si>
    <t>McLoughlin et al. 2024</t>
  </si>
  <si>
    <t>Dún Laoghaire Harbour</t>
  </si>
  <si>
    <t>WebPlotDigitiser (Digitisation software)</t>
  </si>
  <si>
    <t>The accurate digitization of historical sea level records - McLoughlin - 2024 - Geoscience Data Journal - Wiley Online Library</t>
  </si>
  <si>
    <t>Lee et al. 2025</t>
  </si>
  <si>
    <t>Sacramento River, I Street</t>
  </si>
  <si>
    <t>Recovery of Daily Water Levels in the Sacramento‐San Joaquin Delta, 1915–2023 - Lee - 2025 - Geoscience Data Journal - Wiley Online Library</t>
  </si>
  <si>
    <t>Sacramento River, Snodgrass</t>
  </si>
  <si>
    <t>Mokelumne River, Thornton</t>
  </si>
  <si>
    <t>Sacramento River, Walnut Grove</t>
  </si>
  <si>
    <t>Mokelumne River, New Hope</t>
  </si>
  <si>
    <t>Sacramento River, Rio Vista</t>
  </si>
  <si>
    <t>Georgiana Slough, Mokelumne River</t>
  </si>
  <si>
    <t>Three Mile Slough, Sacramento River</t>
  </si>
  <si>
    <t>Sacramento River, Collinsville</t>
  </si>
  <si>
    <t>Suisun Bay, Benicia (East Bay, Martinez)</t>
  </si>
  <si>
    <t>San Joaquin River, Antioch</t>
  </si>
  <si>
    <t>San Joaquin River, San Andreas Landing</t>
  </si>
  <si>
    <t>Three Mile Slough, San Joaquin River</t>
  </si>
  <si>
    <t>San Joaquin River, Venice Island</t>
  </si>
  <si>
    <t xml:space="preserve">Middle River, Bacon Island	</t>
  </si>
  <si>
    <t>San Joaquin River, Rindge Pump</t>
  </si>
  <si>
    <t>Old River, Rock Slough (Old River, Bacon Island)</t>
  </si>
  <si>
    <t>San Joaquin River, Burns Cutoff (Stockton)</t>
  </si>
  <si>
    <t>Middle River, Borden (Union Pt)</t>
  </si>
  <si>
    <t>San Joaquin River, Brandt Bridge</t>
  </si>
  <si>
    <t>Middle River, Mowry Bridge</t>
  </si>
  <si>
    <t>Old River, Clifton Court Ferry</t>
  </si>
  <si>
    <t>Grantline Canal, Tracy</t>
  </si>
  <si>
    <t>Old River, Tracy Blvd Bridge</t>
  </si>
  <si>
    <t>San Joaquin River, Mossdale Bridge</t>
  </si>
  <si>
    <t xml:space="preserve"> Sacramento River, Weir</t>
  </si>
  <si>
    <t xml:space="preserve"> Sacramento River, Bryte Bend Plant</t>
  </si>
  <si>
    <t xml:space="preserve"> Yolo Bypass, Lisbon</t>
  </si>
  <si>
    <t xml:space="preserve"> Sacramento River, near Freeport</t>
  </si>
  <si>
    <t xml:space="preserve"> Clarksburg</t>
  </si>
  <si>
    <t xml:space="preserve"> Sacramento River, Hood</t>
  </si>
  <si>
    <t xml:space="preserve"> Yolo Bypass, Liberty Island</t>
  </si>
  <si>
    <t xml:space="preserve"> Miner Slough 5-points</t>
  </si>
  <si>
    <t xml:space="preserve"> Steamboat Slough</t>
  </si>
  <si>
    <t xml:space="preserve"> Delta Cross Channel at Walnut Grove</t>
  </si>
  <si>
    <t xml:space="preserve"> Ryer Island</t>
  </si>
  <si>
    <t xml:space="preserve"> Frost Slough at Montezuma Slough</t>
  </si>
  <si>
    <t xml:space="preserve"> Montezuma Slough, Nurse Slough</t>
  </si>
  <si>
    <t xml:space="preserve"> Sacramento River at Isleton</t>
  </si>
  <si>
    <t xml:space="preserve"> Roaring River, Pelican Point</t>
  </si>
  <si>
    <t xml:space="preserve"> Hill Slough, Grizzly Island</t>
  </si>
  <si>
    <t xml:space="preserve"> Little Potato Slough</t>
  </si>
  <si>
    <t xml:space="preserve"> Mare Island</t>
  </si>
  <si>
    <t xml:space="preserve"> Port Chicago</t>
  </si>
  <si>
    <t xml:space="preserve"> False River </t>
  </si>
  <si>
    <t xml:space="preserve"> Pittsburg</t>
  </si>
  <si>
    <t xml:space="preserve"> Mallard Island</t>
  </si>
  <si>
    <t xml:space="preserve"> Piper Slough, Franks Tract</t>
  </si>
  <si>
    <t xml:space="preserve"> Old River, Holland Tract</t>
  </si>
  <si>
    <t xml:space="preserve"> Rock Slough, at Contra Costa</t>
  </si>
  <si>
    <t xml:space="preserve"> San Joaquin River, Stockton (McLeod Lake)</t>
  </si>
  <si>
    <t xml:space="preserve"> Old River, Mansion House (Victoria Isl)</t>
  </si>
  <si>
    <t xml:space="preserve"> Old River, near Byron</t>
  </si>
  <si>
    <t xml:space="preserve"> Italian Slough Mouth Near Byron</t>
  </si>
  <si>
    <t xml:space="preserve"> Old River, at Head</t>
  </si>
  <si>
    <t xml:space="preserve"> Tom Paine Slough, Above Mouth</t>
  </si>
  <si>
    <t xml:space="preserve">Georges and Princes Pier </t>
  </si>
  <si>
    <t>Citizen science (Zooniverse)</t>
  </si>
  <si>
    <t>15min</t>
  </si>
  <si>
    <t>UK Tides — Zooniverse</t>
  </si>
  <si>
    <t>Hilbre Island</t>
  </si>
  <si>
    <t>Singapore Town</t>
  </si>
  <si>
    <t>Singapore</t>
  </si>
  <si>
    <t>01/01/1834-31/08/1834, 01/09/1835-30/09/1840, 01/04/1841-31/12/1841</t>
  </si>
  <si>
    <t>01/01/1882-30/09/1882, 01/10/1883-31/12/1883</t>
  </si>
  <si>
    <t>Victoria Dock</t>
  </si>
  <si>
    <t>01/01/1953-30/04/1953, 01/06/1958-31/12/1958</t>
  </si>
  <si>
    <t>Monthly Average (lunar months)</t>
  </si>
  <si>
    <t>Johore Bahru</t>
  </si>
  <si>
    <t>01/01/1923-31/07/1923, 01/12/1924-31/01/1928, 01/02/1929-31/12/1929</t>
  </si>
  <si>
    <t>Sembawang</t>
  </si>
  <si>
    <t>01/01/1947-06/02/1947, 10/03/1947-31/12/1947</t>
  </si>
  <si>
    <t>Walvis Bay</t>
  </si>
  <si>
    <t>Namibia</t>
  </si>
  <si>
    <t>1965,1970-1976, 1988-1990, 1992, 1995, 1998-2006</t>
  </si>
  <si>
    <t>Luderitz</t>
  </si>
  <si>
    <t>South Africa</t>
  </si>
  <si>
    <t>1965, 1989, 1993,1996, 1998-2006</t>
  </si>
  <si>
    <t>Port Nolloth</t>
  </si>
  <si>
    <t>1989, 1994-1995, 1997, 1999, 2002</t>
  </si>
  <si>
    <t>Stompneus Bay</t>
  </si>
  <si>
    <t>Saldanha Bay</t>
  </si>
  <si>
    <t>1974, 1980, 1997-1998, 2006, 2008-2011, 2015</t>
  </si>
  <si>
    <t>Robben Island</t>
  </si>
  <si>
    <t>Cape Town (Granger Bay)</t>
  </si>
  <si>
    <t>1989-1990, 1996-1999, 2009-2011</t>
  </si>
  <si>
    <t>Table Bay Harbour</t>
  </si>
  <si>
    <t>1889-1898, 1915-1931, 1933-1950, 1952-1956,1965-1966</t>
  </si>
  <si>
    <t>Hout Bay</t>
  </si>
  <si>
    <t>1958-1959, 1963-1964, 1967-1970, 1972,1974</t>
  </si>
  <si>
    <t>Simons Bay</t>
  </si>
  <si>
    <t>1837-1907, 1909-1931, 1935-1956, 1978, 1986-1988, 1993, 1995-1999, 2001, 2003, 2010-2011, 2013, 2015, 2019</t>
  </si>
  <si>
    <t>Hermanus</t>
  </si>
  <si>
    <t>Mossel Bay</t>
  </si>
  <si>
    <t>1959, 1970-1972, 1977, 1982, 1996, 1998-1999, 2001, 2004</t>
  </si>
  <si>
    <t>Knysna</t>
  </si>
  <si>
    <t>1962,1981,1985-1988,1990-1994,1996-1998, 2001-2005</t>
  </si>
  <si>
    <t>1898-1926,1928-1956, 1960-1976, 1989-1990,1992,1994-1995,1998,2016</t>
  </si>
  <si>
    <t>East London</t>
  </si>
  <si>
    <t>1968-1969, 1972-1973, 1977,1979-1983,1997-1999, 2002,2010-2011</t>
  </si>
  <si>
    <t>Durban</t>
  </si>
  <si>
    <t>1885-1886,1891,1893-1925, 1927-1950,1952-1968,1980,1984,1991,1996-1998, 2003-2004, 2010-2011</t>
  </si>
  <si>
    <t>Richards Bay</t>
  </si>
  <si>
    <t>1980,1983-1987,1991-1994,1996-1998,2002,2009-2011</t>
  </si>
  <si>
    <t>Broomielaw</t>
  </si>
  <si>
    <t>Only weekly max is digitised</t>
  </si>
  <si>
    <t>Bowling</t>
  </si>
  <si>
    <t>Rothesay Dock</t>
  </si>
  <si>
    <t>Gourock</t>
  </si>
  <si>
    <t>Unspecified dates</t>
  </si>
  <si>
    <t>Unspecified location in Poole</t>
  </si>
  <si>
    <t>Ledger</t>
  </si>
  <si>
    <t xml:space="preserve">Ledger </t>
  </si>
  <si>
    <t>Ledger and Digital</t>
  </si>
  <si>
    <t xml:space="preserve">Marigram </t>
  </si>
  <si>
    <t>Marigram and Digital</t>
  </si>
  <si>
    <t>Extension of a high temporal resolution sea level time series at Socoa (Saint-Jean-de-Luz, France) back to 1876</t>
  </si>
  <si>
    <t>To be published</t>
  </si>
  <si>
    <t>Kenwright and Haigh. TBP</t>
  </si>
  <si>
    <t>Hogarth et al. TBP</t>
  </si>
  <si>
    <t>Matthews et al. TBP</t>
  </si>
  <si>
    <t>Hogarth et al. 2020</t>
  </si>
  <si>
    <t>Latapy, 2020</t>
  </si>
  <si>
    <t>Resolution</t>
  </si>
  <si>
    <t>No. Missing years</t>
  </si>
  <si>
    <t>No. Recorded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</si>
</sst>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u/>
      <sz val="11"/>
      <name val="Aptos Narrow"/>
      <family val="2"/>
      <scheme val="minor"/>
    </font>
    <font>
      <b/>
      <sz val="11"/>
      <color theme="1"/>
      <name val="Aptos"/>
      <family val="2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22222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131314"/>
      <name val="Aptos Narrow"/>
      <family val="2"/>
      <scheme val="minor"/>
    </font>
    <font>
      <sz val="11"/>
      <color rgb="FF131314"/>
      <name val="Aptos Narrow"/>
      <family val="2"/>
      <scheme val="minor"/>
    </font>
    <font>
      <sz val="11"/>
      <color rgb="FF232323"/>
      <name val="Aptos Narrow"/>
      <family val="2"/>
      <scheme val="minor"/>
    </font>
    <font>
      <sz val="11"/>
      <color rgb="FF1C1D1E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9E9E9E"/>
      </left>
      <right style="medium">
        <color rgb="FF9E9E9E"/>
      </right>
      <top/>
      <bottom style="medium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0" fontId="2" fillId="0" borderId="1" xfId="1" applyFill="1" applyBorder="1"/>
    <xf numFmtId="0" fontId="2" fillId="0" borderId="1" xfId="1" applyBorder="1"/>
    <xf numFmtId="2" fontId="3" fillId="0" borderId="1" xfId="0" applyNumberFormat="1" applyFont="1" applyBorder="1"/>
    <xf numFmtId="2" fontId="3" fillId="0" borderId="1" xfId="0" applyNumberFormat="1" applyFont="1" applyBorder="1" applyAlignment="1">
      <alignment vertical="center" wrapText="1"/>
    </xf>
    <xf numFmtId="17" fontId="0" fillId="0" borderId="1" xfId="0" applyNumberFormat="1" applyBorder="1"/>
    <xf numFmtId="0" fontId="4" fillId="0" borderId="1" xfId="0" applyFont="1" applyBorder="1"/>
    <xf numFmtId="0" fontId="5" fillId="0" borderId="1" xfId="0" applyFont="1" applyBorder="1"/>
    <xf numFmtId="0" fontId="7" fillId="0" borderId="1" xfId="0" applyFont="1" applyBorder="1"/>
    <xf numFmtId="0" fontId="8" fillId="0" borderId="1" xfId="0" applyFont="1" applyBorder="1"/>
    <xf numFmtId="2" fontId="5" fillId="0" borderId="1" xfId="0" applyNumberFormat="1" applyFont="1" applyBorder="1"/>
    <xf numFmtId="0" fontId="9" fillId="0" borderId="1" xfId="1" applyFont="1" applyFill="1" applyBorder="1"/>
    <xf numFmtId="0" fontId="5" fillId="0" borderId="0" xfId="0" applyFont="1"/>
    <xf numFmtId="0" fontId="10" fillId="0" borderId="1" xfId="0" applyFont="1" applyBorder="1"/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2" fillId="0" borderId="1" xfId="1" applyFill="1" applyBorder="1" applyAlignment="1">
      <alignment vertical="center" wrapText="1"/>
    </xf>
    <xf numFmtId="0" fontId="13" fillId="0" borderId="1" xfId="0" applyFont="1" applyBorder="1"/>
    <xf numFmtId="0" fontId="14" fillId="0" borderId="1" xfId="0" applyFont="1" applyBorder="1"/>
    <xf numFmtId="0" fontId="3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7" fillId="0" borderId="0" xfId="0" applyFont="1"/>
    <xf numFmtId="0" fontId="0" fillId="0" borderId="2" xfId="0" applyBorder="1"/>
    <xf numFmtId="0" fontId="2" fillId="0" borderId="1" xfId="1" applyFill="1" applyBorder="1" applyAlignment="1">
      <alignment horizontal="left" vertical="center" wrapText="1" indent="1"/>
    </xf>
    <xf numFmtId="0" fontId="18" fillId="0" borderId="1" xfId="0" applyFont="1" applyBorder="1"/>
    <xf numFmtId="0" fontId="3" fillId="0" borderId="0" xfId="0" applyFont="1"/>
    <xf numFmtId="2" fontId="3" fillId="0" borderId="0" xfId="0" applyNumberFormat="1" applyFont="1"/>
    <xf numFmtId="1" fontId="0" fillId="0" borderId="1" xfId="0" applyNumberFormat="1" applyBorder="1"/>
    <xf numFmtId="0" fontId="3" fillId="3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right" vertical="center"/>
    </xf>
    <xf numFmtId="0" fontId="0" fillId="0" borderId="4" xfId="0" applyBorder="1"/>
    <xf numFmtId="0" fontId="1" fillId="0" borderId="4" xfId="0" applyFont="1" applyBorder="1"/>
    <xf numFmtId="2" fontId="0" fillId="0" borderId="4" xfId="0" applyNumberFormat="1" applyBorder="1"/>
    <xf numFmtId="0" fontId="1" fillId="0" borderId="0" xfId="0" applyFont="1"/>
    <xf numFmtId="2" fontId="0" fillId="0" borderId="0" xfId="0" applyNumberFormat="1"/>
    <xf numFmtId="0" fontId="1" fillId="0" borderId="5" xfId="0" applyFont="1" applyBorder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5" fillId="0" borderId="1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esearchgate.net/publication/273705568_Maintaining_legacy_data_Saving_Belfast_Harbour_UK_tide-gauge_data_1901-2010" TargetMode="External"/><Relationship Id="rId21" Type="http://schemas.openxmlformats.org/officeDocument/2006/relationships/hyperlink" Target="https://agupubs.onlinelibrary.wiley.com/doi/full/10.1002/2014GL059574" TargetMode="External"/><Relationship Id="rId42" Type="http://schemas.openxmlformats.org/officeDocument/2006/relationships/hyperlink" Target="https://agupubs.onlinelibrary.wiley.com/doi/full/10.1029/2003GL019166" TargetMode="External"/><Relationship Id="rId63" Type="http://schemas.openxmlformats.org/officeDocument/2006/relationships/hyperlink" Target="https://agupubs.onlinelibrary.wiley.com/doi/epdf/10.1029/94JB00279" TargetMode="External"/><Relationship Id="rId84" Type="http://schemas.openxmlformats.org/officeDocument/2006/relationships/hyperlink" Target="https://www.nodc.noaa.gov/media/pdf/esm/ESM_SEP2003vol14no1.pdf" TargetMode="External"/><Relationship Id="rId138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107" Type="http://schemas.openxmlformats.org/officeDocument/2006/relationships/hyperlink" Target="https://journals.openedition.org/mediterranee/170" TargetMode="External"/><Relationship Id="rId11" Type="http://schemas.openxmlformats.org/officeDocument/2006/relationships/hyperlink" Target="https://link.springer.com/article/10.1007/s10236-005-0056-8" TargetMode="External"/><Relationship Id="rId32" Type="http://schemas.openxmlformats.org/officeDocument/2006/relationships/hyperlink" Target="https://agupubs.onlinelibrary.wiley.com/doi/full/10.1029/2018JC014313" TargetMode="External"/><Relationship Id="rId53" Type="http://schemas.openxmlformats.org/officeDocument/2006/relationships/hyperlink" Target="https://agupubs.onlinelibrary.wiley.com/doi/epdf/10.1029/93GL02371" TargetMode="External"/><Relationship Id="rId74" Type="http://schemas.openxmlformats.org/officeDocument/2006/relationships/hyperlink" Target="https://www.nodc.noaa.gov/media/pdf/esm/ESM_SEP2003vol14no1.pdf" TargetMode="External"/><Relationship Id="rId128" Type="http://schemas.openxmlformats.org/officeDocument/2006/relationships/hyperlink" Target="https://agupubs.onlinelibrary.wiley.com/doi/full/10.1029/2019JC015277" TargetMode="External"/><Relationship Id="rId5" Type="http://schemas.openxmlformats.org/officeDocument/2006/relationships/hyperlink" Target="https://agupubs.onlinelibrary.wiley.com/doi/epdf/10.1029/94JB00279" TargetMode="External"/><Relationship Id="rId90" Type="http://schemas.openxmlformats.org/officeDocument/2006/relationships/hyperlink" Target="https://www.nodc.noaa.gov/media/pdf/esm/ESM_SEP2003vol14no1.pdf" TargetMode="External"/><Relationship Id="rId95" Type="http://schemas.openxmlformats.org/officeDocument/2006/relationships/hyperlink" Target="https://www.nodc.noaa.gov/media/pdf/esm/ESM_SEP2003vol14no1.pdf" TargetMode="External"/><Relationship Id="rId22" Type="http://schemas.openxmlformats.org/officeDocument/2006/relationships/hyperlink" Target="https://link.springer.com/article/10.1007/s00190-014-0728-6" TargetMode="External"/><Relationship Id="rId27" Type="http://schemas.openxmlformats.org/officeDocument/2006/relationships/hyperlink" Target="https://agupubs.onlinelibrary.wiley.com/doi/full/10.1029/2019JC015656" TargetMode="External"/><Relationship Id="rId43" Type="http://schemas.openxmlformats.org/officeDocument/2006/relationships/hyperlink" Target="https://link.springer.com/article/10.1007/s10236-013-0598-0" TargetMode="External"/><Relationship Id="rId48" Type="http://schemas.openxmlformats.org/officeDocument/2006/relationships/hyperlink" Target="https://journals.openedition.org/mediterranee/170" TargetMode="External"/><Relationship Id="rId64" Type="http://schemas.openxmlformats.org/officeDocument/2006/relationships/hyperlink" Target="https://agupubs.onlinelibrary.wiley.com/doi/epdf/10.1029/94JB00279" TargetMode="External"/><Relationship Id="rId69" Type="http://schemas.openxmlformats.org/officeDocument/2006/relationships/hyperlink" Target="https://agupubs.onlinelibrary.wiley.com/doi/epdf/10.1029/1999GL900323" TargetMode="External"/><Relationship Id="rId113" Type="http://schemas.openxmlformats.org/officeDocument/2006/relationships/hyperlink" Target="https://meridian.allenpress.com/jcr/article/29/6a/118/144016/Nineteenth-Century-North-American-and-Pacific" TargetMode="External"/><Relationship Id="rId118" Type="http://schemas.openxmlformats.org/officeDocument/2006/relationships/hyperlink" Target="https://refmar.shom.fr/sites/default/files/2024-07/Reconstruction%20serie%20maregraphique%20Saint-Nazaire%20par%20Yann%20Ferret%202016.pdf" TargetMode="External"/><Relationship Id="rId134" Type="http://schemas.openxmlformats.org/officeDocument/2006/relationships/hyperlink" Target="https://www.sciencedirect.com/science/article/pii/S0079661120300720" TargetMode="External"/><Relationship Id="rId139" Type="http://schemas.openxmlformats.org/officeDocument/2006/relationships/hyperlink" Target="https://agupubs.onlinelibrary.wiley.com/doi/full/10.1029/2020JC016328" TargetMode="External"/><Relationship Id="rId80" Type="http://schemas.openxmlformats.org/officeDocument/2006/relationships/hyperlink" Target="https://www.nodc.noaa.gov/media/pdf/esm/ESM_SEP2003vol14no1.pdf" TargetMode="External"/><Relationship Id="rId85" Type="http://schemas.openxmlformats.org/officeDocument/2006/relationships/hyperlink" Target="https://www.nodc.noaa.gov/media/pdf/esm/ESM_SEP2003vol14no1.pdf" TargetMode="External"/><Relationship Id="rId12" Type="http://schemas.openxmlformats.org/officeDocument/2006/relationships/hyperlink" Target="https://binp.regione.veneto.it/SebinaOpac/resource/18722004-la-serie-storica-delle-maree-a-venezia/VIA01614330" TargetMode="External"/><Relationship Id="rId17" Type="http://schemas.openxmlformats.org/officeDocument/2006/relationships/hyperlink" Target="https://agupubs.onlinelibrary.wiley.com/doi/full/10.1029/2011JC007558" TargetMode="External"/><Relationship Id="rId33" Type="http://schemas.openxmlformats.org/officeDocument/2006/relationships/hyperlink" Target="https://link.springer.com/article/10.1007/s12237-018-0379-6" TargetMode="External"/><Relationship Id="rId38" Type="http://schemas.openxmlformats.org/officeDocument/2006/relationships/hyperlink" Target="https://agupubs.onlinelibrary.wiley.com/doi/full/10.1029/2020JC016328" TargetMode="External"/><Relationship Id="rId59" Type="http://schemas.openxmlformats.org/officeDocument/2006/relationships/hyperlink" Target="https://academic.oup.com/gji/article/71/3/809/656230?login=true" TargetMode="External"/><Relationship Id="rId103" Type="http://schemas.openxmlformats.org/officeDocument/2006/relationships/hyperlink" Target="https://link.springer.com/article/10.1007/s10236-005-0044-z" TargetMode="External"/><Relationship Id="rId108" Type="http://schemas.openxmlformats.org/officeDocument/2006/relationships/hyperlink" Target="https://agupubs.onlinelibrary.wiley.com/doi/full/10.1029/2011JF001964" TargetMode="External"/><Relationship Id="rId124" Type="http://schemas.openxmlformats.org/officeDocument/2006/relationships/hyperlink" Target="https://agupubs.onlinelibrary.wiley.com/doi/full/10.1029/2017JC013645" TargetMode="External"/><Relationship Id="rId129" Type="http://schemas.openxmlformats.org/officeDocument/2006/relationships/hyperlink" Target="https://agupubs.onlinelibrary.wiley.com/doi/full/10.1029/2019JC015277" TargetMode="External"/><Relationship Id="rId54" Type="http://schemas.openxmlformats.org/officeDocument/2006/relationships/hyperlink" Target="https://refmar.shom.fr/sites/default/files/2024-07/Reconstruction%20serie%20maregraphique%20Saint-Nazaire%20par%20Yann%20Ferret%202016.pdf" TargetMode="External"/><Relationship Id="rId70" Type="http://schemas.openxmlformats.org/officeDocument/2006/relationships/hyperlink" Target="https://psmsl.org/data/longrecords/ReportsFGI_2000_1.pdf" TargetMode="External"/><Relationship Id="rId75" Type="http://schemas.openxmlformats.org/officeDocument/2006/relationships/hyperlink" Target="https://www.nodc.noaa.gov/media/pdf/esm/ESM_SEP2003vol14no1.pdf" TargetMode="External"/><Relationship Id="rId91" Type="http://schemas.openxmlformats.org/officeDocument/2006/relationships/hyperlink" Target="https://www.nodc.noaa.gov/media/pdf/esm/ESM_SEP2003vol14no1.pdf" TargetMode="External"/><Relationship Id="rId96" Type="http://schemas.openxmlformats.org/officeDocument/2006/relationships/hyperlink" Target="https://www.nodc.noaa.gov/media/pdf/esm/ESM_SEP2003vol14no1.pdf" TargetMode="External"/><Relationship Id="rId140" Type="http://schemas.openxmlformats.org/officeDocument/2006/relationships/hyperlink" Target="https://os.copernicus.org/articles/17/1623/2021/" TargetMode="External"/><Relationship Id="rId145" Type="http://schemas.openxmlformats.org/officeDocument/2006/relationships/hyperlink" Target="https://rmets.onlinelibrary.wiley.com/doi/10.1002/gdj3.70018" TargetMode="External"/><Relationship Id="rId1" Type="http://schemas.openxmlformats.org/officeDocument/2006/relationships/hyperlink" Target="https://rmets.onlinelibrary.wiley.com/doi/10.1002/gdj3.256" TargetMode="External"/><Relationship Id="rId6" Type="http://schemas.openxmlformats.org/officeDocument/2006/relationships/hyperlink" Target="https://agupubs.onlinelibrary.wiley.com/doi/epdf/10.1029/1999GL900323" TargetMode="External"/><Relationship Id="rId23" Type="http://schemas.openxmlformats.org/officeDocument/2006/relationships/hyperlink" Target="https://www.researchgate.net/publication/273705568_Maintaining_legacy_data_Saving_Belfast_Harbour_UK_tide-gauge_data_1901-2010" TargetMode="External"/><Relationship Id="rId28" Type="http://schemas.openxmlformats.org/officeDocument/2006/relationships/hyperlink" Target="https://theses.hal.science/tel-02899411/" TargetMode="External"/><Relationship Id="rId49" Type="http://schemas.openxmlformats.org/officeDocument/2006/relationships/hyperlink" Target="https://www.scirp.org/journal/paperinformation?paperid=128406" TargetMode="External"/><Relationship Id="rId114" Type="http://schemas.openxmlformats.org/officeDocument/2006/relationships/hyperlink" Target="https://agupubs.onlinelibrary.wiley.com/doi/full/10.1002/2014GL059574" TargetMode="External"/><Relationship Id="rId119" Type="http://schemas.openxmlformats.org/officeDocument/2006/relationships/hyperlink" Target="https://agupubs.onlinelibrary.wiley.com/doi/full/10.1002/2016GL069494" TargetMode="External"/><Relationship Id="rId44" Type="http://schemas.openxmlformats.org/officeDocument/2006/relationships/hyperlink" Target="https://psmsl.org/products/author_archive/Extended_PSMSL_Table_26-10-2012.pdf" TargetMode="External"/><Relationship Id="rId60" Type="http://schemas.openxmlformats.org/officeDocument/2006/relationships/hyperlink" Target="https://agupubs.onlinelibrary.wiley.com/doi/epdf/10.1029/94JB00279" TargetMode="External"/><Relationship Id="rId65" Type="http://schemas.openxmlformats.org/officeDocument/2006/relationships/hyperlink" Target="https://agupubs.onlinelibrary.wiley.com/doi/epdf/10.1029/94JB00279" TargetMode="External"/><Relationship Id="rId81" Type="http://schemas.openxmlformats.org/officeDocument/2006/relationships/hyperlink" Target="https://www.nodc.noaa.gov/media/pdf/esm/ESM_SEP2003vol14no1.pdf" TargetMode="External"/><Relationship Id="rId86" Type="http://schemas.openxmlformats.org/officeDocument/2006/relationships/hyperlink" Target="https://www.nodc.noaa.gov/media/pdf/esm/ESM_SEP2003vol14no1.pdf" TargetMode="External"/><Relationship Id="rId130" Type="http://schemas.openxmlformats.org/officeDocument/2006/relationships/hyperlink" Target="https://www.sciencedirect.com/science/article/pii/S0079661120300720" TargetMode="External"/><Relationship Id="rId135" Type="http://schemas.openxmlformats.org/officeDocument/2006/relationships/hyperlink" Target="https://agupubs.onlinelibrary.wiley.com/doi/full/10.1029/2019JC015656" TargetMode="External"/><Relationship Id="rId13" Type="http://schemas.openxmlformats.org/officeDocument/2006/relationships/hyperlink" Target="https://www.jstor.org/stable/4496116?seq=2" TargetMode="External"/><Relationship Id="rId18" Type="http://schemas.openxmlformats.org/officeDocument/2006/relationships/hyperlink" Target="https://www.tandfonline.com/doi/abs/10.2989/1814232X.2012.689623?casa_token=zBny8ik3tAMAAAAA:D-WLZrlhXskUGl1Xag8khGwd83rNrPI2GZ94RlKOsCvfW4t4DDubKDq8PhmhPgZCerNLRIoGbCBZ" TargetMode="External"/><Relationship Id="rId39" Type="http://schemas.openxmlformats.org/officeDocument/2006/relationships/hyperlink" Target="https://pdxscholar.library.pdx.edu/cgi/viewcontent.cgi?article=1426&amp;context=cengin_fac" TargetMode="External"/><Relationship Id="rId109" Type="http://schemas.openxmlformats.org/officeDocument/2006/relationships/hyperlink" Target="https://agupubs.onlinelibrary.wiley.com/doi/full/10.1002/jgrc.20377" TargetMode="External"/><Relationship Id="rId34" Type="http://schemas.openxmlformats.org/officeDocument/2006/relationships/hyperlink" Target="https://www.sciencedirect.com/science/article/pii/S0278434313001283" TargetMode="External"/><Relationship Id="rId50" Type="http://schemas.openxmlformats.org/officeDocument/2006/relationships/hyperlink" Target="https://agupubs.onlinelibrary.wiley.com/doi/full/10.1029/2011JF001964" TargetMode="External"/><Relationship Id="rId55" Type="http://schemas.openxmlformats.org/officeDocument/2006/relationships/hyperlink" Target="https://agupubs.onlinelibrary.wiley.com/doi/full/10.1029/2019JC015277" TargetMode="External"/><Relationship Id="rId76" Type="http://schemas.openxmlformats.org/officeDocument/2006/relationships/hyperlink" Target="https://www.nodc.noaa.gov/media/pdf/esm/ESM_SEP2003vol14no1.pdf" TargetMode="External"/><Relationship Id="rId97" Type="http://schemas.openxmlformats.org/officeDocument/2006/relationships/hyperlink" Target="https://www.nodc.noaa.gov/media/pdf/esm/ESM_SEP2003vol14no1.pdf" TargetMode="External"/><Relationship Id="rId104" Type="http://schemas.openxmlformats.org/officeDocument/2006/relationships/hyperlink" Target="https://link.springer.com/article/10.1007/s10236-005-0056-8" TargetMode="External"/><Relationship Id="rId120" Type="http://schemas.openxmlformats.org/officeDocument/2006/relationships/hyperlink" Target="https://pdxscholar.library.pdx.edu/cgi/viewcontent.cgi?article=1426&amp;context=cengin_fac" TargetMode="External"/><Relationship Id="rId125" Type="http://schemas.openxmlformats.org/officeDocument/2006/relationships/hyperlink" Target="https://link.springer.com/article/10.1007/s12237-018-0379-6" TargetMode="External"/><Relationship Id="rId141" Type="http://schemas.openxmlformats.org/officeDocument/2006/relationships/hyperlink" Target="https://www.researchgate.net/publication/366338540_Reconstruction_of_Mediterranean_coastal_sea_level_at_different_timescales_based_on_tide_gauge_records" TargetMode="External"/><Relationship Id="rId7" Type="http://schemas.openxmlformats.org/officeDocument/2006/relationships/hyperlink" Target="https://psmsl.org/data/longrecords/ReportsFGI_2000_1.pdf" TargetMode="External"/><Relationship Id="rId71" Type="http://schemas.openxmlformats.org/officeDocument/2006/relationships/hyperlink" Target="https://psmsl.org/data/longrecords/ReportsFGI_2000_1.pdf" TargetMode="External"/><Relationship Id="rId92" Type="http://schemas.openxmlformats.org/officeDocument/2006/relationships/hyperlink" Target="https://www.nodc.noaa.gov/media/pdf/esm/ESM_SEP2003vol14no1.pdf" TargetMode="External"/><Relationship Id="rId2" Type="http://schemas.openxmlformats.org/officeDocument/2006/relationships/hyperlink" Target="https://www.zooniverse.org/projects/psmsl/uk-tides" TargetMode="External"/><Relationship Id="rId29" Type="http://schemas.openxmlformats.org/officeDocument/2006/relationships/hyperlink" Target="https://rmets.onlinelibrary.wiley.com/doi/full/10.1002/gdj3.112" TargetMode="External"/><Relationship Id="rId24" Type="http://schemas.openxmlformats.org/officeDocument/2006/relationships/hyperlink" Target="https://agupubs.onlinelibrary.wiley.com/doi/full/10.1029/2017JC013645" TargetMode="External"/><Relationship Id="rId40" Type="http://schemas.openxmlformats.org/officeDocument/2006/relationships/hyperlink" Target="https://journals.ametsoc.org/view/journals/phoc/36/6/jpo2876.1.xml" TargetMode="External"/><Relationship Id="rId45" Type="http://schemas.openxmlformats.org/officeDocument/2006/relationships/hyperlink" Target="https://academic.oup.com/gji/article/71/3/809/656230?login=true" TargetMode="External"/><Relationship Id="rId66" Type="http://schemas.openxmlformats.org/officeDocument/2006/relationships/hyperlink" Target="https://agupubs.onlinelibrary.wiley.com/doi/epdf/10.1029/94JB00279" TargetMode="External"/><Relationship Id="rId87" Type="http://schemas.openxmlformats.org/officeDocument/2006/relationships/hyperlink" Target="https://www.nodc.noaa.gov/media/pdf/esm/ESM_SEP2003vol14no1.pdf" TargetMode="External"/><Relationship Id="rId110" Type="http://schemas.openxmlformats.org/officeDocument/2006/relationships/hyperlink" Target="https://agupubs.onlinelibrary.wiley.com/doi/full/10.1002/jgrc.20377" TargetMode="External"/><Relationship Id="rId115" Type="http://schemas.openxmlformats.org/officeDocument/2006/relationships/hyperlink" Target="https://link.springer.com/article/10.1007/s00190-014-0728-6" TargetMode="External"/><Relationship Id="rId131" Type="http://schemas.openxmlformats.org/officeDocument/2006/relationships/hyperlink" Target="https://www.sciencedirect.com/science/article/pii/S0079661120300720" TargetMode="External"/><Relationship Id="rId136" Type="http://schemas.openxmlformats.org/officeDocument/2006/relationships/hyperlink" Target="https://theses.hal.science/tel-02899411/" TargetMode="External"/><Relationship Id="rId61" Type="http://schemas.openxmlformats.org/officeDocument/2006/relationships/hyperlink" Target="https://agupubs.onlinelibrary.wiley.com/doi/epdf/10.1029/94JB00279" TargetMode="External"/><Relationship Id="rId82" Type="http://schemas.openxmlformats.org/officeDocument/2006/relationships/hyperlink" Target="https://www.nodc.noaa.gov/media/pdf/esm/ESM_SEP2003vol14no1.pdf" TargetMode="External"/><Relationship Id="rId19" Type="http://schemas.openxmlformats.org/officeDocument/2006/relationships/hyperlink" Target="https://agupubs.onlinelibrary.wiley.com/doi/full/10.1002/jgrc.20377" TargetMode="External"/><Relationship Id="rId14" Type="http://schemas.openxmlformats.org/officeDocument/2006/relationships/hyperlink" Target="https://www.sciencedirect.com/science/article/pii/S0278434309002313" TargetMode="External"/><Relationship Id="rId30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35" Type="http://schemas.openxmlformats.org/officeDocument/2006/relationships/hyperlink" Target="https://os.copernicus.org/articles/17/1623/2021/" TargetMode="External"/><Relationship Id="rId56" Type="http://schemas.openxmlformats.org/officeDocument/2006/relationships/hyperlink" Target="https://journals.ametsoc.org/view/journals/clim/16/6/1520-0442_2003_016_0982_svatcc_2.0.co_2.xml" TargetMode="External"/><Relationship Id="rId77" Type="http://schemas.openxmlformats.org/officeDocument/2006/relationships/hyperlink" Target="https://www.nodc.noaa.gov/media/pdf/esm/ESM_SEP2003vol14no1.pdf" TargetMode="External"/><Relationship Id="rId100" Type="http://schemas.openxmlformats.org/officeDocument/2006/relationships/hyperlink" Target="https://www.nodc.noaa.gov/media/pdf/esm/ESM_SEP2003vol14no1.pdf" TargetMode="External"/><Relationship Id="rId105" Type="http://schemas.openxmlformats.org/officeDocument/2006/relationships/hyperlink" Target="https://journals.ametsoc.org/view/journals/phoc/36/6/jpo2876.1.xml" TargetMode="External"/><Relationship Id="rId126" Type="http://schemas.openxmlformats.org/officeDocument/2006/relationships/hyperlink" Target="https://link.springer.com/article/10.1007/s00190-019-01238-w" TargetMode="External"/><Relationship Id="rId8" Type="http://schemas.openxmlformats.org/officeDocument/2006/relationships/hyperlink" Target="https://psmsl.org/products/author_archive/ekman_2003.pdf" TargetMode="External"/><Relationship Id="rId51" Type="http://schemas.openxmlformats.org/officeDocument/2006/relationships/hyperlink" Target="https://www.sciencedirect.com/science/article/pii/S0278434306003888" TargetMode="External"/><Relationship Id="rId72" Type="http://schemas.openxmlformats.org/officeDocument/2006/relationships/hyperlink" Target="https://www.nodc.noaa.gov/media/pdf/esm/ESM_SEP2003vol14no1.pdf" TargetMode="External"/><Relationship Id="rId93" Type="http://schemas.openxmlformats.org/officeDocument/2006/relationships/hyperlink" Target="https://www.nodc.noaa.gov/media/pdf/esm/ESM_SEP2003vol14no1.pdf" TargetMode="External"/><Relationship Id="rId98" Type="http://schemas.openxmlformats.org/officeDocument/2006/relationships/hyperlink" Target="https://www.nodc.noaa.gov/media/pdf/esm/ESM_SEP2003vol14no1.pdf" TargetMode="External"/><Relationship Id="rId121" Type="http://schemas.openxmlformats.org/officeDocument/2006/relationships/hyperlink" Target="https://agupubs.onlinelibrary.wiley.com/doi/full/10.1029/2017JC013645" TargetMode="External"/><Relationship Id="rId142" Type="http://schemas.openxmlformats.org/officeDocument/2006/relationships/hyperlink" Target="https://www.proquest.com/docview/2649433831?fromopenview=true&amp;pq-origsite=gscholar&amp;sourcetype=Scholarly%20Journals" TargetMode="External"/><Relationship Id="rId3" Type="http://schemas.openxmlformats.org/officeDocument/2006/relationships/hyperlink" Target="https://www.proquest.com/docview/2649433831?fromopenview=true&amp;pq-origsite=gscholar&amp;sourcetype=Scholarly%20Journals" TargetMode="External"/><Relationship Id="rId25" Type="http://schemas.openxmlformats.org/officeDocument/2006/relationships/hyperlink" Target="https://link.springer.com/article/10.1007/s00190-019-01238-w" TargetMode="External"/><Relationship Id="rId46" Type="http://schemas.openxmlformats.org/officeDocument/2006/relationships/hyperlink" Target="https://meridian.allenpress.com/jcr/article/29/6a/118/144016/Nineteenth-Century-North-American-and-Pacific" TargetMode="External"/><Relationship Id="rId67" Type="http://schemas.openxmlformats.org/officeDocument/2006/relationships/hyperlink" Target="https://agupubs.onlinelibrary.wiley.com/doi/epdf/10.1029/1999GL900323" TargetMode="External"/><Relationship Id="rId116" Type="http://schemas.openxmlformats.org/officeDocument/2006/relationships/hyperlink" Target="https://psmsl.org/products/author_archive/Extended_PSMSL_Table_26-10-2012.pdf" TargetMode="External"/><Relationship Id="rId137" Type="http://schemas.openxmlformats.org/officeDocument/2006/relationships/hyperlink" Target="https://rmets.onlinelibrary.wiley.com/doi/full/10.1002/gdj3.112" TargetMode="External"/><Relationship Id="rId20" Type="http://schemas.openxmlformats.org/officeDocument/2006/relationships/hyperlink" Target="https://www.sciencedirect.com/science/article/pii/S002216941201092X" TargetMode="External"/><Relationship Id="rId41" Type="http://schemas.openxmlformats.org/officeDocument/2006/relationships/hyperlink" Target="file:///C:\AppData\Local\Temp\MicrosoftEdgeDownloads\9b15081c-5147-4c54-98f5-b1962a9902f1\277504.pdf" TargetMode="External"/><Relationship Id="rId62" Type="http://schemas.openxmlformats.org/officeDocument/2006/relationships/hyperlink" Target="https://agupubs.onlinelibrary.wiley.com/doi/epdf/10.1029/94JB00279" TargetMode="External"/><Relationship Id="rId83" Type="http://schemas.openxmlformats.org/officeDocument/2006/relationships/hyperlink" Target="https://www.nodc.noaa.gov/media/pdf/esm/ESM_SEP2003vol14no1.pdf" TargetMode="External"/><Relationship Id="rId88" Type="http://schemas.openxmlformats.org/officeDocument/2006/relationships/hyperlink" Target="https://www.nodc.noaa.gov/media/pdf/esm/ESM_SEP2003vol14no1.pdf" TargetMode="External"/><Relationship Id="rId111" Type="http://schemas.openxmlformats.org/officeDocument/2006/relationships/hyperlink" Target="https://www.sciencedirect.com/science/article/pii/S0278434313001283" TargetMode="External"/><Relationship Id="rId132" Type="http://schemas.openxmlformats.org/officeDocument/2006/relationships/hyperlink" Target="https://www.sciencedirect.com/science/article/pii/S0079661120300720" TargetMode="External"/><Relationship Id="rId15" Type="http://schemas.openxmlformats.org/officeDocument/2006/relationships/hyperlink" Target="https://agupubs.onlinelibrary.wiley.com/doi/full/10.1029/2010JC006404" TargetMode="External"/><Relationship Id="rId36" Type="http://schemas.openxmlformats.org/officeDocument/2006/relationships/hyperlink" Target="https://www.researchgate.net/publication/366338540_Reconstruction_of_Mediterranean_coastal_sea_level_at_different_timescales_based_on_tide_gauge_records" TargetMode="External"/><Relationship Id="rId57" Type="http://schemas.openxmlformats.org/officeDocument/2006/relationships/hyperlink" Target="https://rmets.onlinelibrary.wiley.com/doi/10.1002/gdj3.70018" TargetMode="External"/><Relationship Id="rId106" Type="http://schemas.openxmlformats.org/officeDocument/2006/relationships/hyperlink" Target="https://binp.regione.veneto.it/SebinaOpac/resource/18722004-la-serie-storica-delle-maree-a-venezia/VIA01614330" TargetMode="External"/><Relationship Id="rId127" Type="http://schemas.openxmlformats.org/officeDocument/2006/relationships/hyperlink" Target="https://link.springer.com/article/10.1007/s00190-019-01238-w" TargetMode="External"/><Relationship Id="rId10" Type="http://schemas.openxmlformats.org/officeDocument/2006/relationships/hyperlink" Target="https://link.springer.com/article/10.1007/s10236-005-0044-z" TargetMode="External"/><Relationship Id="rId31" Type="http://schemas.openxmlformats.org/officeDocument/2006/relationships/hyperlink" Target="https://agupubs.onlinelibrary.wiley.com/doi/full/10.1002/2016GL069494" TargetMode="External"/><Relationship Id="rId52" Type="http://schemas.openxmlformats.org/officeDocument/2006/relationships/hyperlink" Target="https://academic.oup.com/gji/article/182/2/781/571033" TargetMode="External"/><Relationship Id="rId73" Type="http://schemas.openxmlformats.org/officeDocument/2006/relationships/hyperlink" Target="https://www.nodc.noaa.gov/media/pdf/esm/ESM_SEP2003vol14no1.pdf" TargetMode="External"/><Relationship Id="rId78" Type="http://schemas.openxmlformats.org/officeDocument/2006/relationships/hyperlink" Target="https://www.nodc.noaa.gov/media/pdf/esm/ESM_SEP2003vol14no1.pdf" TargetMode="External"/><Relationship Id="rId94" Type="http://schemas.openxmlformats.org/officeDocument/2006/relationships/hyperlink" Target="https://www.nodc.noaa.gov/media/pdf/esm/ESM_SEP2003vol14no1.pdf" TargetMode="External"/><Relationship Id="rId99" Type="http://schemas.openxmlformats.org/officeDocument/2006/relationships/hyperlink" Target="https://www.nodc.noaa.gov/media/pdf/esm/ESM_SEP2003vol14no1.pdf" TargetMode="External"/><Relationship Id="rId101" Type="http://schemas.openxmlformats.org/officeDocument/2006/relationships/hyperlink" Target="https://www.nodc.noaa.gov/media/pdf/esm/ESM_SEP2003vol14no1.pdf" TargetMode="External"/><Relationship Id="rId122" Type="http://schemas.openxmlformats.org/officeDocument/2006/relationships/hyperlink" Target="https://agupubs.onlinelibrary.wiley.com/doi/full/10.1029/2017JC013645" TargetMode="External"/><Relationship Id="rId143" Type="http://schemas.openxmlformats.org/officeDocument/2006/relationships/hyperlink" Target="https://hal.science/hal-04555208v1/file/Khan2023.pdf" TargetMode="External"/><Relationship Id="rId4" Type="http://schemas.openxmlformats.org/officeDocument/2006/relationships/hyperlink" Target="https://agupubs.onlinelibrary.wiley.com/doi/full/10.1029/2024JC020908" TargetMode="External"/><Relationship Id="rId9" Type="http://schemas.openxmlformats.org/officeDocument/2006/relationships/hyperlink" Target="https://agupubs.onlinelibrary.wiley.com/doi/full/10.1029/2002GL016813" TargetMode="External"/><Relationship Id="rId26" Type="http://schemas.openxmlformats.org/officeDocument/2006/relationships/hyperlink" Target="https://www.sciencedirect.com/science/article/pii/S0079661120300720" TargetMode="External"/><Relationship Id="rId47" Type="http://schemas.openxmlformats.org/officeDocument/2006/relationships/hyperlink" Target="https://www.nodc.noaa.gov/media/pdf/esm/ESM_SEP2003vol14no1.pdf" TargetMode="External"/><Relationship Id="rId68" Type="http://schemas.openxmlformats.org/officeDocument/2006/relationships/hyperlink" Target="https://agupubs.onlinelibrary.wiley.com/doi/epdf/10.1029/1999GL900323" TargetMode="External"/><Relationship Id="rId89" Type="http://schemas.openxmlformats.org/officeDocument/2006/relationships/hyperlink" Target="https://www.nodc.noaa.gov/media/pdf/esm/ESM_SEP2003vol14no1.pdf" TargetMode="External"/><Relationship Id="rId112" Type="http://schemas.openxmlformats.org/officeDocument/2006/relationships/hyperlink" Target="https://link.springer.com/article/10.1007/s10236-013-0598-0" TargetMode="External"/><Relationship Id="rId133" Type="http://schemas.openxmlformats.org/officeDocument/2006/relationships/hyperlink" Target="https://www.sciencedirect.com/science/article/pii/S0079661120300720" TargetMode="External"/><Relationship Id="rId16" Type="http://schemas.openxmlformats.org/officeDocument/2006/relationships/hyperlink" Target="https://agupubs.onlinelibrary.wiley.com/doi/full/10.1029/2010JC006113" TargetMode="External"/><Relationship Id="rId37" Type="http://schemas.openxmlformats.org/officeDocument/2006/relationships/hyperlink" Target="https://hal.science/hal-04555208v1/file/Khan2023.pdf" TargetMode="External"/><Relationship Id="rId58" Type="http://schemas.openxmlformats.org/officeDocument/2006/relationships/hyperlink" Target="https://academic.oup.com/gji/article/71/3/809/656230?login=true" TargetMode="External"/><Relationship Id="rId79" Type="http://schemas.openxmlformats.org/officeDocument/2006/relationships/hyperlink" Target="https://www.nodc.noaa.gov/media/pdf/esm/ESM_SEP2003vol14no1.pdf" TargetMode="External"/><Relationship Id="rId102" Type="http://schemas.openxmlformats.org/officeDocument/2006/relationships/hyperlink" Target="https://journals.ametsoc.org/view/journals/clim/16/6/1520-0442_2003_016_0982_svatcc_2.0.co_2.xml" TargetMode="External"/><Relationship Id="rId123" Type="http://schemas.openxmlformats.org/officeDocument/2006/relationships/hyperlink" Target="https://agupubs.onlinelibrary.wiley.com/doi/full/10.1029/2017JC013645" TargetMode="External"/><Relationship Id="rId144" Type="http://schemas.openxmlformats.org/officeDocument/2006/relationships/hyperlink" Target="https://agupubs.onlinelibrary.wiley.com/doi/full/10.1029/2024JC0209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3C90-0725-422F-8AB9-4F021440A9B3}">
  <dimension ref="A1:W475"/>
  <sheetViews>
    <sheetView tabSelected="1" topLeftCell="C109" zoomScaleNormal="100" workbookViewId="0">
      <selection activeCell="L117" sqref="L117"/>
    </sheetView>
  </sheetViews>
  <sheetFormatPr defaultRowHeight="14.5" x14ac:dyDescent="0.35"/>
  <cols>
    <col min="1" max="1" width="29" style="4" customWidth="1"/>
    <col min="2" max="2" width="34.36328125" style="3" bestFit="1" customWidth="1"/>
    <col min="3" max="3" width="14.7265625" style="3" bestFit="1" customWidth="1"/>
    <col min="4" max="5" width="12.7265625" style="5" bestFit="1" customWidth="1"/>
    <col min="6" max="6" width="11.08984375" style="3" bestFit="1" customWidth="1"/>
    <col min="7" max="7" width="12.08984375" style="3" bestFit="1" customWidth="1"/>
    <col min="8" max="8" width="20.81640625" style="5" customWidth="1"/>
    <col min="9" max="9" width="31.1796875" style="3" customWidth="1"/>
    <col min="10" max="10" width="13.453125" style="5" bestFit="1" customWidth="1"/>
    <col min="11" max="11" width="28.1796875" style="3" bestFit="1" customWidth="1"/>
    <col min="12" max="12" width="36.6328125" style="3" bestFit="1" customWidth="1"/>
    <col min="13" max="13" width="32.54296875" style="3" bestFit="1" customWidth="1"/>
    <col min="14" max="14" width="154.08984375" style="3" bestFit="1" customWidth="1"/>
    <col min="23" max="16384" width="8.7265625" style="3"/>
  </cols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755</v>
      </c>
      <c r="I1" s="1" t="s">
        <v>7</v>
      </c>
      <c r="J1" s="2" t="s">
        <v>754</v>
      </c>
      <c r="K1" s="1" t="s">
        <v>8</v>
      </c>
      <c r="L1" s="1" t="s">
        <v>9</v>
      </c>
      <c r="M1" s="1" t="s">
        <v>753</v>
      </c>
      <c r="N1" s="1" t="s">
        <v>11</v>
      </c>
    </row>
    <row r="2" spans="1:14" x14ac:dyDescent="0.35">
      <c r="A2" s="4" t="s">
        <v>12</v>
      </c>
      <c r="B2" s="3" t="s">
        <v>13</v>
      </c>
      <c r="C2" s="3" t="s">
        <v>14</v>
      </c>
      <c r="D2" s="5">
        <v>52.373832</v>
      </c>
      <c r="E2" s="5">
        <v>4.9118560000000002</v>
      </c>
      <c r="F2" s="3">
        <v>1700</v>
      </c>
      <c r="G2" s="3">
        <v>1925</v>
      </c>
      <c r="H2" s="5">
        <f>(1+(G2-F2))-J2</f>
        <v>210</v>
      </c>
      <c r="I2" s="3" t="s">
        <v>15</v>
      </c>
      <c r="J2" s="5">
        <v>16</v>
      </c>
      <c r="K2" s="3" t="s">
        <v>16</v>
      </c>
      <c r="L2" s="3" t="s">
        <v>32</v>
      </c>
      <c r="M2" s="3" t="s">
        <v>17</v>
      </c>
      <c r="N2" s="6" t="s">
        <v>18</v>
      </c>
    </row>
    <row r="3" spans="1:14" x14ac:dyDescent="0.35">
      <c r="A3" s="4" t="s">
        <v>19</v>
      </c>
      <c r="B3" s="3" t="s">
        <v>20</v>
      </c>
      <c r="C3" s="3" t="s">
        <v>21</v>
      </c>
      <c r="D3" s="5">
        <v>52.643171000000002</v>
      </c>
      <c r="E3" s="5">
        <v>-6.2247380000000003</v>
      </c>
      <c r="F3" s="3">
        <v>1842</v>
      </c>
      <c r="G3" s="3">
        <v>1979</v>
      </c>
      <c r="H3" s="5">
        <f t="shared" ref="H3:H207" si="0">(1+(G3-F3))-J3</f>
        <v>1.8333333333333428</v>
      </c>
      <c r="I3" s="3" t="s">
        <v>22</v>
      </c>
      <c r="J3" s="5">
        <f>0.5+136-(4/12)</f>
        <v>136.16666666666666</v>
      </c>
      <c r="K3" s="3" t="s">
        <v>741</v>
      </c>
      <c r="L3" s="3" t="s">
        <v>10</v>
      </c>
      <c r="M3" s="3" t="s">
        <v>23</v>
      </c>
      <c r="N3" s="7" t="s">
        <v>24</v>
      </c>
    </row>
    <row r="4" spans="1:14" x14ac:dyDescent="0.35">
      <c r="A4" s="4" t="s">
        <v>19</v>
      </c>
      <c r="B4" s="3" t="s">
        <v>25</v>
      </c>
      <c r="C4" s="3" t="s">
        <v>21</v>
      </c>
      <c r="D4" s="5">
        <v>55.208117999999999</v>
      </c>
      <c r="E4" s="5">
        <v>-6.2390179999999997</v>
      </c>
      <c r="F4" s="3">
        <v>1842</v>
      </c>
      <c r="G4" s="3">
        <v>1980</v>
      </c>
      <c r="H4" s="5">
        <f t="shared" si="0"/>
        <v>1.863636363636374</v>
      </c>
      <c r="I4" s="3" t="s">
        <v>26</v>
      </c>
      <c r="J4" s="5">
        <f>0.5+137-(4/11)</f>
        <v>137.13636363636363</v>
      </c>
      <c r="K4" s="3" t="s">
        <v>741</v>
      </c>
      <c r="L4" s="3" t="s">
        <v>10</v>
      </c>
      <c r="M4" s="3" t="s">
        <v>23</v>
      </c>
      <c r="N4" s="7" t="s">
        <v>24</v>
      </c>
    </row>
    <row r="5" spans="1:14" x14ac:dyDescent="0.35">
      <c r="A5" s="4" t="s">
        <v>19</v>
      </c>
      <c r="B5" s="3" t="s">
        <v>27</v>
      </c>
      <c r="C5" s="3" t="s">
        <v>21</v>
      </c>
      <c r="D5" s="5">
        <v>51.528897999999998</v>
      </c>
      <c r="E5" s="5">
        <v>-9.1724879999999995</v>
      </c>
      <c r="F5" s="3">
        <v>1842</v>
      </c>
      <c r="G5" s="3">
        <v>1978</v>
      </c>
      <c r="H5" s="5">
        <f t="shared" si="0"/>
        <v>1.3333333333333428</v>
      </c>
      <c r="I5" s="3" t="s">
        <v>28</v>
      </c>
      <c r="J5" s="5">
        <f>0.5+0.5+135- (4/12)</f>
        <v>135.66666666666666</v>
      </c>
      <c r="K5" s="3" t="s">
        <v>741</v>
      </c>
      <c r="L5" s="3" t="s">
        <v>10</v>
      </c>
      <c r="M5" s="3" t="s">
        <v>23</v>
      </c>
      <c r="N5" s="7" t="s">
        <v>24</v>
      </c>
    </row>
    <row r="6" spans="1:14" x14ac:dyDescent="0.35">
      <c r="A6" s="4" t="s">
        <v>29</v>
      </c>
      <c r="B6" s="3" t="s">
        <v>30</v>
      </c>
      <c r="C6" s="3" t="s">
        <v>31</v>
      </c>
      <c r="D6" s="8">
        <v>24.555</v>
      </c>
      <c r="E6" s="9">
        <v>-81.806667000000004</v>
      </c>
      <c r="F6" s="3">
        <v>1846</v>
      </c>
      <c r="G6" s="3">
        <v>1992</v>
      </c>
      <c r="H6" s="5">
        <f t="shared" si="0"/>
        <v>147</v>
      </c>
      <c r="I6" s="3" t="s">
        <v>739</v>
      </c>
      <c r="J6" s="5">
        <v>0</v>
      </c>
      <c r="K6" s="3" t="s">
        <v>32</v>
      </c>
      <c r="L6" s="3" t="s">
        <v>32</v>
      </c>
      <c r="M6" s="3" t="s">
        <v>33</v>
      </c>
      <c r="N6" s="7" t="s">
        <v>34</v>
      </c>
    </row>
    <row r="7" spans="1:14" x14ac:dyDescent="0.35">
      <c r="A7" s="4" t="s">
        <v>35</v>
      </c>
      <c r="B7" s="3" t="s">
        <v>36</v>
      </c>
      <c r="C7" s="3" t="s">
        <v>31</v>
      </c>
      <c r="D7" s="5">
        <v>48.37</v>
      </c>
      <c r="E7" s="5">
        <v>-124.62</v>
      </c>
      <c r="F7" s="3">
        <v>1934</v>
      </c>
      <c r="G7" s="3">
        <v>1992</v>
      </c>
      <c r="H7" s="5">
        <f t="shared" si="0"/>
        <v>58.6</v>
      </c>
      <c r="I7" s="3" t="s">
        <v>37</v>
      </c>
      <c r="J7" s="5">
        <v>0.4</v>
      </c>
      <c r="K7" s="3" t="s">
        <v>741</v>
      </c>
      <c r="L7" s="3" t="s">
        <v>10</v>
      </c>
      <c r="M7" s="3" t="s">
        <v>38</v>
      </c>
      <c r="N7" s="6" t="s">
        <v>39</v>
      </c>
    </row>
    <row r="8" spans="1:14" x14ac:dyDescent="0.35">
      <c r="A8" s="4" t="s">
        <v>35</v>
      </c>
      <c r="B8" s="3" t="s">
        <v>40</v>
      </c>
      <c r="C8" s="3" t="s">
        <v>31</v>
      </c>
      <c r="D8" s="5">
        <v>46.71</v>
      </c>
      <c r="E8" s="5">
        <v>-123.97</v>
      </c>
      <c r="F8" s="3">
        <v>1968</v>
      </c>
      <c r="G8" s="3">
        <v>1992</v>
      </c>
      <c r="H8" s="5">
        <f t="shared" si="0"/>
        <v>24.3</v>
      </c>
      <c r="I8" s="3" t="s">
        <v>41</v>
      </c>
      <c r="J8" s="5">
        <v>0.7</v>
      </c>
      <c r="K8" s="3" t="s">
        <v>741</v>
      </c>
      <c r="L8" s="3" t="s">
        <v>10</v>
      </c>
      <c r="M8" s="3" t="s">
        <v>38</v>
      </c>
      <c r="N8" s="6" t="s">
        <v>39</v>
      </c>
    </row>
    <row r="9" spans="1:14" x14ac:dyDescent="0.35">
      <c r="A9" s="4" t="s">
        <v>35</v>
      </c>
      <c r="B9" s="3" t="s">
        <v>42</v>
      </c>
      <c r="C9" s="3" t="s">
        <v>31</v>
      </c>
      <c r="D9" s="5">
        <v>46.22</v>
      </c>
      <c r="E9" s="5">
        <v>-123.77</v>
      </c>
      <c r="F9" s="3">
        <v>1925</v>
      </c>
      <c r="G9" s="3">
        <v>1992</v>
      </c>
      <c r="H9" s="5">
        <f t="shared" si="0"/>
        <v>67.900000000000006</v>
      </c>
      <c r="I9" s="10">
        <v>9133</v>
      </c>
      <c r="J9" s="5">
        <v>0.1</v>
      </c>
      <c r="K9" s="3" t="s">
        <v>741</v>
      </c>
      <c r="L9" s="3" t="s">
        <v>10</v>
      </c>
      <c r="M9" s="3" t="s">
        <v>38</v>
      </c>
      <c r="N9" s="6" t="s">
        <v>39</v>
      </c>
    </row>
    <row r="10" spans="1:14" x14ac:dyDescent="0.35">
      <c r="A10" s="4" t="s">
        <v>35</v>
      </c>
      <c r="B10" s="3" t="s">
        <v>43</v>
      </c>
      <c r="C10" s="3" t="s">
        <v>31</v>
      </c>
      <c r="D10" s="5">
        <v>45.56</v>
      </c>
      <c r="E10" s="5">
        <v>-123.92</v>
      </c>
      <c r="F10" s="3">
        <v>1970</v>
      </c>
      <c r="G10" s="3">
        <v>1981</v>
      </c>
      <c r="H10" s="5">
        <f t="shared" si="0"/>
        <v>11.7</v>
      </c>
      <c r="I10" s="3" t="s">
        <v>44</v>
      </c>
      <c r="J10" s="5">
        <v>0.3</v>
      </c>
      <c r="K10" s="3" t="s">
        <v>741</v>
      </c>
      <c r="L10" s="3" t="s">
        <v>10</v>
      </c>
      <c r="M10" s="3" t="s">
        <v>38</v>
      </c>
      <c r="N10" s="6" t="s">
        <v>39</v>
      </c>
    </row>
    <row r="11" spans="1:14" x14ac:dyDescent="0.35">
      <c r="A11" s="4" t="s">
        <v>35</v>
      </c>
      <c r="B11" s="3" t="s">
        <v>45</v>
      </c>
      <c r="C11" s="3" t="s">
        <v>31</v>
      </c>
      <c r="D11" s="5">
        <v>44.63</v>
      </c>
      <c r="E11" s="5">
        <v>-124.05</v>
      </c>
      <c r="F11" s="3">
        <v>1967</v>
      </c>
      <c r="G11" s="3">
        <v>1990</v>
      </c>
      <c r="H11" s="5">
        <f t="shared" si="0"/>
        <v>24</v>
      </c>
      <c r="I11" s="3" t="s">
        <v>16</v>
      </c>
      <c r="J11" s="5">
        <v>0</v>
      </c>
      <c r="K11" s="3" t="s">
        <v>741</v>
      </c>
      <c r="L11" s="3" t="s">
        <v>10</v>
      </c>
      <c r="M11" s="3" t="s">
        <v>38</v>
      </c>
      <c r="N11" s="6" t="s">
        <v>39</v>
      </c>
    </row>
    <row r="12" spans="1:14" x14ac:dyDescent="0.35">
      <c r="A12" s="4" t="s">
        <v>35</v>
      </c>
      <c r="B12" s="3" t="s">
        <v>46</v>
      </c>
      <c r="C12" s="3" t="s">
        <v>31</v>
      </c>
      <c r="D12" s="5">
        <v>43.35</v>
      </c>
      <c r="E12" s="5">
        <v>-124.33</v>
      </c>
      <c r="F12" s="3">
        <v>1970</v>
      </c>
      <c r="G12" s="3">
        <v>1991</v>
      </c>
      <c r="H12" s="5">
        <f t="shared" si="0"/>
        <v>21.7</v>
      </c>
      <c r="I12" s="3" t="s">
        <v>47</v>
      </c>
      <c r="J12" s="5">
        <v>0.3</v>
      </c>
      <c r="K12" s="3" t="s">
        <v>741</v>
      </c>
      <c r="L12" s="3" t="s">
        <v>10</v>
      </c>
      <c r="M12" s="3" t="s">
        <v>38</v>
      </c>
      <c r="N12" s="6" t="s">
        <v>39</v>
      </c>
    </row>
    <row r="13" spans="1:14" x14ac:dyDescent="0.35">
      <c r="A13" s="4" t="s">
        <v>35</v>
      </c>
      <c r="B13" s="3" t="s">
        <v>48</v>
      </c>
      <c r="C13" s="3" t="s">
        <v>31</v>
      </c>
      <c r="D13" s="5">
        <v>42.74</v>
      </c>
      <c r="E13" s="5">
        <v>-124.51</v>
      </c>
      <c r="F13" s="3">
        <v>1977</v>
      </c>
      <c r="G13" s="3">
        <v>1992</v>
      </c>
      <c r="H13" s="5">
        <f t="shared" si="0"/>
        <v>15.3</v>
      </c>
      <c r="I13" s="3" t="s">
        <v>49</v>
      </c>
      <c r="J13" s="5">
        <v>0.7</v>
      </c>
      <c r="K13" s="3" t="s">
        <v>741</v>
      </c>
      <c r="L13" s="3" t="s">
        <v>10</v>
      </c>
      <c r="M13" s="3" t="s">
        <v>38</v>
      </c>
      <c r="N13" s="6" t="s">
        <v>39</v>
      </c>
    </row>
    <row r="14" spans="1:14" x14ac:dyDescent="0.35">
      <c r="A14" s="4" t="s">
        <v>35</v>
      </c>
      <c r="B14" s="3" t="s">
        <v>50</v>
      </c>
      <c r="C14" s="3" t="s">
        <v>31</v>
      </c>
      <c r="D14" s="5">
        <v>41.75</v>
      </c>
      <c r="E14" s="5">
        <v>-124.2</v>
      </c>
      <c r="F14" s="3">
        <v>1933</v>
      </c>
      <c r="G14" s="3">
        <v>1992</v>
      </c>
      <c r="H14" s="5">
        <f t="shared" si="0"/>
        <v>60</v>
      </c>
      <c r="I14" s="3" t="s">
        <v>16</v>
      </c>
      <c r="J14" s="5">
        <v>0</v>
      </c>
      <c r="K14" s="3" t="s">
        <v>741</v>
      </c>
      <c r="L14" s="3" t="s">
        <v>10</v>
      </c>
      <c r="M14" s="3" t="s">
        <v>38</v>
      </c>
      <c r="N14" s="6" t="s">
        <v>39</v>
      </c>
    </row>
    <row r="15" spans="1:14" x14ac:dyDescent="0.35">
      <c r="A15" s="4" t="s">
        <v>51</v>
      </c>
      <c r="B15" s="3" t="s">
        <v>52</v>
      </c>
      <c r="C15" s="3" t="s">
        <v>53</v>
      </c>
      <c r="D15" s="5">
        <v>53.401319000000001</v>
      </c>
      <c r="E15" s="5">
        <v>-2.9941279999999999</v>
      </c>
      <c r="F15" s="3">
        <v>1768</v>
      </c>
      <c r="G15" s="3">
        <v>1793</v>
      </c>
      <c r="H15" s="5">
        <f t="shared" si="0"/>
        <v>26</v>
      </c>
      <c r="I15" s="3" t="s">
        <v>16</v>
      </c>
      <c r="J15" s="5">
        <v>0</v>
      </c>
      <c r="K15" s="3" t="s">
        <v>741</v>
      </c>
      <c r="L15" s="3" t="s">
        <v>10</v>
      </c>
      <c r="M15" s="3" t="s">
        <v>17</v>
      </c>
      <c r="N15" s="6" t="s">
        <v>54</v>
      </c>
    </row>
    <row r="16" spans="1:14" x14ac:dyDescent="0.35">
      <c r="A16" s="4" t="s">
        <v>51</v>
      </c>
      <c r="B16" s="3" t="s">
        <v>55</v>
      </c>
      <c r="C16" s="3" t="s">
        <v>53</v>
      </c>
      <c r="D16" s="5">
        <v>53.400575000000003</v>
      </c>
      <c r="E16" s="5">
        <v>-2.99085</v>
      </c>
      <c r="F16" s="3">
        <v>1827</v>
      </c>
      <c r="G16" s="3">
        <v>1835</v>
      </c>
      <c r="H16" s="5">
        <f t="shared" si="0"/>
        <v>9</v>
      </c>
      <c r="I16" s="3" t="s">
        <v>16</v>
      </c>
      <c r="J16" s="5">
        <v>0</v>
      </c>
      <c r="K16" s="3" t="s">
        <v>741</v>
      </c>
      <c r="L16" s="3" t="s">
        <v>10</v>
      </c>
      <c r="M16" s="3" t="s">
        <v>17</v>
      </c>
      <c r="N16" s="6" t="s">
        <v>54</v>
      </c>
    </row>
    <row r="17" spans="1:14" x14ac:dyDescent="0.35">
      <c r="A17" s="4" t="s">
        <v>51</v>
      </c>
      <c r="B17" s="3" t="s">
        <v>56</v>
      </c>
      <c r="C17" s="3" t="s">
        <v>53</v>
      </c>
      <c r="D17" s="5">
        <v>53.4</v>
      </c>
      <c r="E17" s="5">
        <v>-3</v>
      </c>
      <c r="F17" s="3">
        <v>1855</v>
      </c>
      <c r="G17" s="3">
        <v>1920</v>
      </c>
      <c r="H17" s="5">
        <f t="shared" si="0"/>
        <v>66</v>
      </c>
      <c r="I17" s="3" t="s">
        <v>16</v>
      </c>
      <c r="J17" s="5">
        <v>0</v>
      </c>
      <c r="K17" s="3" t="s">
        <v>741</v>
      </c>
      <c r="L17" s="3" t="s">
        <v>10</v>
      </c>
      <c r="M17" s="3" t="s">
        <v>17</v>
      </c>
      <c r="N17" s="6" t="s">
        <v>54</v>
      </c>
    </row>
    <row r="18" spans="1:14" x14ac:dyDescent="0.35">
      <c r="A18" s="4" t="s">
        <v>51</v>
      </c>
      <c r="B18" s="3" t="s">
        <v>57</v>
      </c>
      <c r="C18" s="3" t="s">
        <v>53</v>
      </c>
      <c r="D18" s="5">
        <v>53.408603999999997</v>
      </c>
      <c r="E18" s="5">
        <v>-3.0011969999999999</v>
      </c>
      <c r="F18" s="3">
        <v>1920</v>
      </c>
      <c r="G18" s="3">
        <v>1984</v>
      </c>
      <c r="H18" s="5">
        <f t="shared" si="0"/>
        <v>65</v>
      </c>
      <c r="I18" s="3" t="s">
        <v>16</v>
      </c>
      <c r="J18" s="5">
        <v>0</v>
      </c>
      <c r="K18" s="3" t="s">
        <v>741</v>
      </c>
      <c r="L18" s="3" t="s">
        <v>10</v>
      </c>
      <c r="M18" s="3" t="s">
        <v>17</v>
      </c>
      <c r="N18" s="6" t="s">
        <v>54</v>
      </c>
    </row>
    <row r="19" spans="1:14" ht="14" customHeight="1" x14ac:dyDescent="0.35">
      <c r="A19" s="4" t="s">
        <v>58</v>
      </c>
      <c r="B19" s="3" t="s">
        <v>59</v>
      </c>
      <c r="C19" s="3" t="s">
        <v>60</v>
      </c>
      <c r="D19" s="5">
        <f>59+(59/60)</f>
        <v>59.983333333333334</v>
      </c>
      <c r="E19" s="5">
        <f>29+(46/60)</f>
        <v>29.766666666666666</v>
      </c>
      <c r="F19" s="3">
        <v>1896</v>
      </c>
      <c r="G19" s="3">
        <v>1993</v>
      </c>
      <c r="H19" s="5">
        <f t="shared" si="0"/>
        <v>98</v>
      </c>
      <c r="I19" s="11" t="s">
        <v>16</v>
      </c>
      <c r="J19" s="5">
        <v>0</v>
      </c>
      <c r="K19" s="3" t="s">
        <v>261</v>
      </c>
      <c r="L19" s="3" t="s">
        <v>10</v>
      </c>
      <c r="M19" s="3" t="s">
        <v>38</v>
      </c>
      <c r="N19" s="6" t="s">
        <v>61</v>
      </c>
    </row>
    <row r="20" spans="1:14" ht="14" customHeight="1" x14ac:dyDescent="0.35">
      <c r="A20" s="4" t="s">
        <v>58</v>
      </c>
      <c r="B20" s="3" t="s">
        <v>59</v>
      </c>
      <c r="C20" s="3" t="s">
        <v>60</v>
      </c>
      <c r="D20" s="5">
        <f>59+(59/60)</f>
        <v>59.983333333333334</v>
      </c>
      <c r="E20" s="5">
        <f>29+(46/60)</f>
        <v>29.766666666666666</v>
      </c>
      <c r="F20" s="3">
        <v>1777</v>
      </c>
      <c r="G20" s="3">
        <v>1896</v>
      </c>
      <c r="H20" s="5">
        <f t="shared" si="0"/>
        <v>76</v>
      </c>
      <c r="I20" s="11" t="s">
        <v>62</v>
      </c>
      <c r="J20" s="5">
        <f>28+6+10</f>
        <v>44</v>
      </c>
      <c r="K20" s="3" t="s">
        <v>741</v>
      </c>
      <c r="L20" s="3" t="s">
        <v>10</v>
      </c>
      <c r="M20" s="3" t="s">
        <v>38</v>
      </c>
      <c r="N20" s="6" t="s">
        <v>61</v>
      </c>
    </row>
    <row r="21" spans="1:14" ht="14" customHeight="1" x14ac:dyDescent="0.35">
      <c r="A21" s="4" t="s">
        <v>58</v>
      </c>
      <c r="B21" t="s">
        <v>63</v>
      </c>
      <c r="C21" s="3" t="s">
        <v>60</v>
      </c>
      <c r="D21" s="5">
        <v>59.96</v>
      </c>
      <c r="E21" s="5">
        <v>29.1</v>
      </c>
      <c r="F21" s="3">
        <v>1989</v>
      </c>
      <c r="G21" s="3">
        <v>1993</v>
      </c>
      <c r="H21" s="5">
        <f t="shared" si="0"/>
        <v>5</v>
      </c>
      <c r="I21" s="11" t="s">
        <v>16</v>
      </c>
      <c r="J21" s="5">
        <v>0</v>
      </c>
      <c r="K21" s="3" t="s">
        <v>261</v>
      </c>
      <c r="L21" s="3" t="s">
        <v>10</v>
      </c>
      <c r="M21" s="3" t="s">
        <v>38</v>
      </c>
      <c r="N21" s="6" t="s">
        <v>61</v>
      </c>
    </row>
    <row r="22" spans="1:14" x14ac:dyDescent="0.35">
      <c r="A22" s="4" t="s">
        <v>64</v>
      </c>
      <c r="B22" s="3" t="s">
        <v>65</v>
      </c>
      <c r="C22" s="3" t="s">
        <v>66</v>
      </c>
      <c r="D22" s="5">
        <v>59.321812000000001</v>
      </c>
      <c r="E22" s="5">
        <v>18.072002000000001</v>
      </c>
      <c r="F22" s="3">
        <v>1774</v>
      </c>
      <c r="G22" s="3">
        <v>2000</v>
      </c>
      <c r="H22" s="5">
        <f t="shared" si="0"/>
        <v>211</v>
      </c>
      <c r="I22" s="3" t="s">
        <v>67</v>
      </c>
      <c r="J22" s="5">
        <f>7+9</f>
        <v>16</v>
      </c>
      <c r="K22" s="3" t="s">
        <v>741</v>
      </c>
      <c r="L22" s="3" t="s">
        <v>10</v>
      </c>
      <c r="M22" s="3" t="s">
        <v>38</v>
      </c>
      <c r="N22" s="6" t="s">
        <v>68</v>
      </c>
    </row>
    <row r="23" spans="1:14" x14ac:dyDescent="0.35">
      <c r="A23" s="4" t="s">
        <v>69</v>
      </c>
      <c r="B23" s="3" t="s">
        <v>70</v>
      </c>
      <c r="C23" s="3" t="s">
        <v>71</v>
      </c>
      <c r="D23" s="5">
        <v>-43.147049000000003</v>
      </c>
      <c r="E23" s="5">
        <v>147.852868</v>
      </c>
      <c r="F23" s="3">
        <v>1841</v>
      </c>
      <c r="G23" s="12">
        <v>2002</v>
      </c>
      <c r="H23" s="5">
        <f t="shared" si="0"/>
        <v>38</v>
      </c>
      <c r="I23" s="11" t="s">
        <v>72</v>
      </c>
      <c r="J23" s="5">
        <f>32+66+26</f>
        <v>124</v>
      </c>
      <c r="K23" s="3" t="s">
        <v>741</v>
      </c>
      <c r="L23" s="3" t="s">
        <v>10</v>
      </c>
      <c r="M23" s="3" t="s">
        <v>33</v>
      </c>
      <c r="N23" s="6" t="s">
        <v>73</v>
      </c>
    </row>
    <row r="24" spans="1:14" x14ac:dyDescent="0.35">
      <c r="A24" s="4" t="s">
        <v>74</v>
      </c>
      <c r="B24" s="3" t="s">
        <v>75</v>
      </c>
      <c r="C24" s="3" t="s">
        <v>76</v>
      </c>
      <c r="D24" s="5">
        <v>10.421473000000001</v>
      </c>
      <c r="E24" s="5">
        <v>-75.549043999999995</v>
      </c>
      <c r="F24" s="3">
        <v>1951</v>
      </c>
      <c r="G24" s="12">
        <v>1994</v>
      </c>
      <c r="H24" s="5">
        <f t="shared" si="0"/>
        <v>44</v>
      </c>
      <c r="I24" s="11" t="s">
        <v>16</v>
      </c>
      <c r="J24" s="5">
        <v>0</v>
      </c>
      <c r="K24" s="3" t="s">
        <v>741</v>
      </c>
      <c r="L24" s="3" t="s">
        <v>10</v>
      </c>
      <c r="M24" s="3" t="s">
        <v>23</v>
      </c>
      <c r="N24" s="7" t="s">
        <v>77</v>
      </c>
    </row>
    <row r="25" spans="1:14" x14ac:dyDescent="0.35">
      <c r="A25" s="4" t="s">
        <v>74</v>
      </c>
      <c r="B25" s="3" t="s">
        <v>78</v>
      </c>
      <c r="C25" s="3" t="s">
        <v>76</v>
      </c>
      <c r="D25" s="5">
        <v>1.811604</v>
      </c>
      <c r="E25" s="5">
        <v>-78.762587999999994</v>
      </c>
      <c r="F25" s="3">
        <v>1951</v>
      </c>
      <c r="G25" s="12">
        <v>1979</v>
      </c>
      <c r="H25" s="5">
        <f t="shared" si="0"/>
        <v>29</v>
      </c>
      <c r="I25" s="11" t="s">
        <v>16</v>
      </c>
      <c r="J25" s="5">
        <v>0</v>
      </c>
      <c r="K25" s="3" t="s">
        <v>741</v>
      </c>
      <c r="L25" s="3" t="s">
        <v>10</v>
      </c>
      <c r="M25" s="3" t="s">
        <v>23</v>
      </c>
      <c r="N25" s="7" t="s">
        <v>77</v>
      </c>
    </row>
    <row r="26" spans="1:14" x14ac:dyDescent="0.35">
      <c r="A26" s="4" t="s">
        <v>74</v>
      </c>
      <c r="B26" s="3" t="s">
        <v>79</v>
      </c>
      <c r="C26" s="3" t="s">
        <v>76</v>
      </c>
      <c r="D26" s="5">
        <v>3.8885350000000001</v>
      </c>
      <c r="E26" s="5">
        <v>-77.081907999999999</v>
      </c>
      <c r="F26" s="3">
        <v>1951</v>
      </c>
      <c r="G26" s="12">
        <v>1979</v>
      </c>
      <c r="H26" s="5">
        <f t="shared" si="0"/>
        <v>29</v>
      </c>
      <c r="I26" s="11" t="s">
        <v>16</v>
      </c>
      <c r="J26" s="5">
        <v>0</v>
      </c>
      <c r="K26" s="3" t="s">
        <v>741</v>
      </c>
      <c r="L26" s="3" t="s">
        <v>10</v>
      </c>
      <c r="M26" s="3" t="s">
        <v>23</v>
      </c>
      <c r="N26" s="7" t="s">
        <v>77</v>
      </c>
    </row>
    <row r="27" spans="1:14" x14ac:dyDescent="0.35">
      <c r="A27" s="4" t="s">
        <v>74</v>
      </c>
      <c r="B27" s="3" t="s">
        <v>80</v>
      </c>
      <c r="C27" s="3" t="s">
        <v>81</v>
      </c>
      <c r="D27" s="5">
        <v>13.584844</v>
      </c>
      <c r="E27" s="5">
        <v>-89.836433999999997</v>
      </c>
      <c r="F27" s="3">
        <v>1963</v>
      </c>
      <c r="G27" s="12">
        <v>1991</v>
      </c>
      <c r="H27" s="5">
        <f t="shared" si="0"/>
        <v>15</v>
      </c>
      <c r="I27" s="11" t="s">
        <v>82</v>
      </c>
      <c r="J27" s="5">
        <f>1+(G27-F27)-15</f>
        <v>14</v>
      </c>
      <c r="K27" s="3" t="s">
        <v>741</v>
      </c>
      <c r="L27" s="3" t="s">
        <v>10</v>
      </c>
      <c r="M27" s="3" t="s">
        <v>23</v>
      </c>
      <c r="N27" s="7" t="s">
        <v>77</v>
      </c>
    </row>
    <row r="28" spans="1:14" x14ac:dyDescent="0.35">
      <c r="A28" s="4" t="s">
        <v>74</v>
      </c>
      <c r="B28" s="3" t="s">
        <v>83</v>
      </c>
      <c r="C28" s="3" t="s">
        <v>84</v>
      </c>
      <c r="D28" s="5">
        <v>8.2675660000000004</v>
      </c>
      <c r="E28" s="5">
        <v>-82.856039999999993</v>
      </c>
      <c r="F28" s="3">
        <v>1983</v>
      </c>
      <c r="G28" s="12">
        <v>1998</v>
      </c>
      <c r="H28" s="5">
        <f t="shared" si="0"/>
        <v>16</v>
      </c>
      <c r="I28" s="11" t="s">
        <v>16</v>
      </c>
      <c r="J28" s="5">
        <v>0</v>
      </c>
      <c r="K28" s="3" t="s">
        <v>741</v>
      </c>
      <c r="L28" s="3" t="s">
        <v>10</v>
      </c>
      <c r="M28" s="3" t="s">
        <v>23</v>
      </c>
      <c r="N28" s="7" t="s">
        <v>77</v>
      </c>
    </row>
    <row r="29" spans="1:14" x14ac:dyDescent="0.35">
      <c r="A29" s="4" t="s">
        <v>74</v>
      </c>
      <c r="B29" s="3" t="s">
        <v>85</v>
      </c>
      <c r="C29" s="3" t="s">
        <v>86</v>
      </c>
      <c r="D29" s="5">
        <v>7.3388530000000003</v>
      </c>
      <c r="E29" s="5">
        <v>134.46727999999999</v>
      </c>
      <c r="F29" s="3">
        <v>1929</v>
      </c>
      <c r="G29" s="12">
        <v>1936</v>
      </c>
      <c r="H29" s="5">
        <f t="shared" si="0"/>
        <v>8</v>
      </c>
      <c r="I29" s="11" t="s">
        <v>16</v>
      </c>
      <c r="J29" s="5">
        <v>0</v>
      </c>
      <c r="K29" s="3" t="s">
        <v>741</v>
      </c>
      <c r="L29" s="3" t="s">
        <v>10</v>
      </c>
      <c r="M29" s="3" t="s">
        <v>23</v>
      </c>
      <c r="N29" s="7" t="s">
        <v>77</v>
      </c>
    </row>
    <row r="30" spans="1:14" x14ac:dyDescent="0.35">
      <c r="A30" s="4" t="s">
        <v>74</v>
      </c>
      <c r="B30" s="3" t="s">
        <v>87</v>
      </c>
      <c r="C30" s="3" t="s">
        <v>88</v>
      </c>
      <c r="D30" s="5">
        <v>2.0270860000000002</v>
      </c>
      <c r="E30" s="5">
        <v>117.718396</v>
      </c>
      <c r="F30" s="3">
        <v>1942</v>
      </c>
      <c r="G30" s="12">
        <v>1943</v>
      </c>
      <c r="H30" s="5">
        <f t="shared" si="0"/>
        <v>2</v>
      </c>
      <c r="I30" s="11" t="s">
        <v>16</v>
      </c>
      <c r="J30" s="5">
        <v>0</v>
      </c>
      <c r="K30" s="3" t="s">
        <v>741</v>
      </c>
      <c r="L30" s="3" t="s">
        <v>10</v>
      </c>
      <c r="M30" s="3" t="s">
        <v>23</v>
      </c>
      <c r="N30" s="7" t="s">
        <v>77</v>
      </c>
    </row>
    <row r="31" spans="1:14" x14ac:dyDescent="0.35">
      <c r="A31" s="4" t="s">
        <v>74</v>
      </c>
      <c r="B31" s="3" t="s">
        <v>89</v>
      </c>
      <c r="C31" s="3" t="s">
        <v>88</v>
      </c>
      <c r="D31" s="5">
        <v>-1.2794319999999999</v>
      </c>
      <c r="E31" s="5">
        <v>116.809793</v>
      </c>
      <c r="F31" s="3">
        <v>1942</v>
      </c>
      <c r="G31" s="12">
        <v>1943</v>
      </c>
      <c r="H31" s="5">
        <f t="shared" si="0"/>
        <v>2</v>
      </c>
      <c r="I31" s="11" t="s">
        <v>16</v>
      </c>
      <c r="J31" s="5">
        <v>0</v>
      </c>
      <c r="K31" s="3" t="s">
        <v>741</v>
      </c>
      <c r="L31" s="3" t="s">
        <v>10</v>
      </c>
      <c r="M31" s="3" t="s">
        <v>23</v>
      </c>
      <c r="N31" s="7" t="s">
        <v>77</v>
      </c>
    </row>
    <row r="32" spans="1:14" x14ac:dyDescent="0.35">
      <c r="A32" s="4" t="s">
        <v>74</v>
      </c>
      <c r="B32" s="3" t="s">
        <v>90</v>
      </c>
      <c r="C32" s="3" t="s">
        <v>88</v>
      </c>
      <c r="D32" s="5">
        <v>-0.52425100000000002</v>
      </c>
      <c r="E32" s="5">
        <v>117.15157000000001</v>
      </c>
      <c r="F32" s="3">
        <v>1943</v>
      </c>
      <c r="G32" s="12">
        <v>1944</v>
      </c>
      <c r="H32" s="5">
        <f t="shared" si="0"/>
        <v>2</v>
      </c>
      <c r="I32" s="11" t="s">
        <v>16</v>
      </c>
      <c r="J32" s="5">
        <v>0</v>
      </c>
      <c r="K32" s="3" t="s">
        <v>741</v>
      </c>
      <c r="L32" s="3" t="s">
        <v>10</v>
      </c>
      <c r="M32" s="3" t="s">
        <v>23</v>
      </c>
      <c r="N32" s="7" t="s">
        <v>77</v>
      </c>
    </row>
    <row r="33" spans="1:14" x14ac:dyDescent="0.35">
      <c r="A33" s="4" t="s">
        <v>74</v>
      </c>
      <c r="B33" s="3" t="s">
        <v>91</v>
      </c>
      <c r="C33" s="3" t="s">
        <v>88</v>
      </c>
      <c r="D33" s="5" t="s">
        <v>16</v>
      </c>
      <c r="E33" s="5" t="s">
        <v>16</v>
      </c>
      <c r="F33" s="3">
        <v>1943</v>
      </c>
      <c r="G33" s="12">
        <v>1944</v>
      </c>
      <c r="H33" s="5">
        <f t="shared" si="0"/>
        <v>2</v>
      </c>
      <c r="I33" s="11" t="s">
        <v>16</v>
      </c>
      <c r="J33" s="5">
        <v>0</v>
      </c>
      <c r="K33" s="3" t="s">
        <v>741</v>
      </c>
      <c r="L33" s="3" t="s">
        <v>10</v>
      </c>
      <c r="M33" s="3" t="s">
        <v>23</v>
      </c>
      <c r="N33" s="7" t="s">
        <v>77</v>
      </c>
    </row>
    <row r="34" spans="1:14" x14ac:dyDescent="0.35">
      <c r="A34" s="4" t="s">
        <v>74</v>
      </c>
      <c r="B34" s="3" t="s">
        <v>92</v>
      </c>
      <c r="C34" s="3" t="s">
        <v>88</v>
      </c>
      <c r="D34" s="5" t="s">
        <v>16</v>
      </c>
      <c r="E34" s="5" t="s">
        <v>16</v>
      </c>
      <c r="F34" s="3">
        <v>1943</v>
      </c>
      <c r="G34" s="12">
        <v>1944</v>
      </c>
      <c r="H34" s="5">
        <f t="shared" si="0"/>
        <v>2</v>
      </c>
      <c r="I34" s="11" t="s">
        <v>16</v>
      </c>
      <c r="J34" s="5">
        <v>0</v>
      </c>
      <c r="K34" s="3" t="s">
        <v>741</v>
      </c>
      <c r="L34" s="3" t="s">
        <v>10</v>
      </c>
      <c r="M34" s="3" t="s">
        <v>23</v>
      </c>
      <c r="N34" s="7" t="s">
        <v>77</v>
      </c>
    </row>
    <row r="35" spans="1:14" x14ac:dyDescent="0.35">
      <c r="A35" s="4" t="s">
        <v>74</v>
      </c>
      <c r="B35" s="3" t="s">
        <v>93</v>
      </c>
      <c r="C35" s="3" t="s">
        <v>94</v>
      </c>
      <c r="D35" s="5">
        <v>16.226343</v>
      </c>
      <c r="E35" s="5">
        <v>-61.531947000000002</v>
      </c>
      <c r="F35" s="3">
        <v>1993</v>
      </c>
      <c r="G35" s="12">
        <v>1998</v>
      </c>
      <c r="H35" s="5">
        <f t="shared" si="0"/>
        <v>6</v>
      </c>
      <c r="I35" s="11" t="s">
        <v>16</v>
      </c>
      <c r="J35" s="5">
        <v>0</v>
      </c>
      <c r="K35" s="3" t="s">
        <v>741</v>
      </c>
      <c r="L35" s="3" t="s">
        <v>10</v>
      </c>
      <c r="M35" s="3" t="s">
        <v>23</v>
      </c>
      <c r="N35" s="7" t="s">
        <v>77</v>
      </c>
    </row>
    <row r="36" spans="1:14" x14ac:dyDescent="0.35">
      <c r="A36" s="4" t="s">
        <v>74</v>
      </c>
      <c r="B36" s="3" t="s">
        <v>95</v>
      </c>
      <c r="C36" s="3" t="s">
        <v>96</v>
      </c>
      <c r="D36" s="5">
        <v>-1.453643</v>
      </c>
      <c r="E36" s="5">
        <v>-48.503751000000001</v>
      </c>
      <c r="F36" s="3">
        <v>1955</v>
      </c>
      <c r="G36" s="12">
        <v>1968</v>
      </c>
      <c r="H36" s="5">
        <f t="shared" si="0"/>
        <v>14</v>
      </c>
      <c r="I36" s="11" t="s">
        <v>16</v>
      </c>
      <c r="J36" s="5">
        <v>0</v>
      </c>
      <c r="K36" s="3" t="s">
        <v>741</v>
      </c>
      <c r="L36" s="3" t="s">
        <v>10</v>
      </c>
      <c r="M36" s="3" t="s">
        <v>23</v>
      </c>
      <c r="N36" s="7" t="s">
        <v>77</v>
      </c>
    </row>
    <row r="37" spans="1:14" x14ac:dyDescent="0.35">
      <c r="A37" s="4" t="s">
        <v>74</v>
      </c>
      <c r="B37" s="3" t="s">
        <v>97</v>
      </c>
      <c r="C37" s="3" t="s">
        <v>96</v>
      </c>
      <c r="D37" s="5">
        <v>-3.7184849999999998</v>
      </c>
      <c r="E37" s="5">
        <v>-38.528562000000001</v>
      </c>
      <c r="F37" s="3">
        <v>1955</v>
      </c>
      <c r="G37" s="12">
        <v>1968</v>
      </c>
      <c r="H37" s="5">
        <f t="shared" si="0"/>
        <v>14</v>
      </c>
      <c r="I37" s="11" t="s">
        <v>16</v>
      </c>
      <c r="J37" s="5">
        <v>0</v>
      </c>
      <c r="K37" s="3" t="s">
        <v>741</v>
      </c>
      <c r="L37" s="3" t="s">
        <v>10</v>
      </c>
      <c r="M37" s="3" t="s">
        <v>23</v>
      </c>
      <c r="N37" s="7" t="s">
        <v>77</v>
      </c>
    </row>
    <row r="38" spans="1:14" x14ac:dyDescent="0.35">
      <c r="A38" s="4" t="s">
        <v>74</v>
      </c>
      <c r="B38" s="3" t="s">
        <v>98</v>
      </c>
      <c r="C38" s="3" t="s">
        <v>96</v>
      </c>
      <c r="D38" s="5">
        <v>-8.0470780000000008</v>
      </c>
      <c r="E38" s="5">
        <v>-34.859287999999999</v>
      </c>
      <c r="F38" s="3">
        <v>1955</v>
      </c>
      <c r="G38" s="12">
        <v>1967</v>
      </c>
      <c r="H38" s="5">
        <f>(1+(G38-F38))-J38</f>
        <v>13</v>
      </c>
      <c r="I38" s="11" t="s">
        <v>16</v>
      </c>
      <c r="J38" s="5">
        <v>0</v>
      </c>
      <c r="K38" s="3" t="s">
        <v>741</v>
      </c>
      <c r="L38" s="3" t="s">
        <v>10</v>
      </c>
      <c r="M38" s="3" t="s">
        <v>23</v>
      </c>
      <c r="N38" s="7" t="s">
        <v>77</v>
      </c>
    </row>
    <row r="39" spans="1:14" x14ac:dyDescent="0.35">
      <c r="A39" s="4" t="s">
        <v>74</v>
      </c>
      <c r="B39" s="3" t="s">
        <v>99</v>
      </c>
      <c r="C39" s="3" t="s">
        <v>96</v>
      </c>
      <c r="D39" s="5">
        <v>-12.972312000000001</v>
      </c>
      <c r="E39" s="5">
        <v>-38.515116999999996</v>
      </c>
      <c r="F39" s="3">
        <v>1955</v>
      </c>
      <c r="G39" s="12">
        <v>1964</v>
      </c>
      <c r="H39" s="5">
        <f t="shared" si="0"/>
        <v>10</v>
      </c>
      <c r="I39" s="11" t="s">
        <v>16</v>
      </c>
      <c r="J39" s="5">
        <v>0</v>
      </c>
      <c r="K39" s="3" t="s">
        <v>741</v>
      </c>
      <c r="L39" s="3" t="s">
        <v>10</v>
      </c>
      <c r="M39" s="3" t="s">
        <v>23</v>
      </c>
      <c r="N39" s="7" t="s">
        <v>77</v>
      </c>
    </row>
    <row r="40" spans="1:14" x14ac:dyDescent="0.35">
      <c r="A40" s="4" t="s">
        <v>74</v>
      </c>
      <c r="B40" s="3" t="s">
        <v>100</v>
      </c>
      <c r="C40" s="3" t="s">
        <v>96</v>
      </c>
      <c r="D40" s="5">
        <v>-15.683204</v>
      </c>
      <c r="E40" s="5">
        <v>-38.943942999999997</v>
      </c>
      <c r="F40" s="3">
        <v>1956</v>
      </c>
      <c r="G40" s="12">
        <v>1961</v>
      </c>
      <c r="H40" s="5">
        <f t="shared" si="0"/>
        <v>6</v>
      </c>
      <c r="I40" s="11" t="s">
        <v>16</v>
      </c>
      <c r="J40" s="5">
        <v>0</v>
      </c>
      <c r="K40" s="3" t="s">
        <v>741</v>
      </c>
      <c r="L40" s="3" t="s">
        <v>10</v>
      </c>
      <c r="M40" s="3" t="s">
        <v>23</v>
      </c>
      <c r="N40" s="7" t="s">
        <v>77</v>
      </c>
    </row>
    <row r="41" spans="1:14" x14ac:dyDescent="0.35">
      <c r="A41" s="4" t="s">
        <v>74</v>
      </c>
      <c r="B41" s="3" t="s">
        <v>101</v>
      </c>
      <c r="C41" s="3" t="s">
        <v>96</v>
      </c>
      <c r="D41" s="5">
        <v>-22.902732</v>
      </c>
      <c r="E41" s="5">
        <v>-43.171339000000003</v>
      </c>
      <c r="F41" s="3">
        <v>1955</v>
      </c>
      <c r="G41" s="12">
        <v>1968</v>
      </c>
      <c r="H41" s="5">
        <f t="shared" si="0"/>
        <v>14</v>
      </c>
      <c r="I41" s="11" t="s">
        <v>16</v>
      </c>
      <c r="J41" s="5">
        <v>0</v>
      </c>
      <c r="K41" s="3" t="s">
        <v>741</v>
      </c>
      <c r="L41" s="3" t="s">
        <v>10</v>
      </c>
      <c r="M41" s="3" t="s">
        <v>23</v>
      </c>
      <c r="N41" s="7" t="s">
        <v>77</v>
      </c>
    </row>
    <row r="42" spans="1:14" x14ac:dyDescent="0.35">
      <c r="A42" s="4" t="s">
        <v>74</v>
      </c>
      <c r="B42" s="3" t="s">
        <v>102</v>
      </c>
      <c r="C42" s="3" t="s">
        <v>103</v>
      </c>
      <c r="D42" s="5">
        <v>15.828041000000001</v>
      </c>
      <c r="E42" s="5">
        <v>-87.933331999999993</v>
      </c>
      <c r="F42" s="3">
        <v>1948</v>
      </c>
      <c r="G42" s="12">
        <v>1968</v>
      </c>
      <c r="H42" s="5">
        <f t="shared" si="0"/>
        <v>21</v>
      </c>
      <c r="I42" s="11" t="s">
        <v>16</v>
      </c>
      <c r="J42" s="5">
        <v>0</v>
      </c>
      <c r="K42" s="3" t="s">
        <v>741</v>
      </c>
      <c r="L42" s="3" t="s">
        <v>10</v>
      </c>
      <c r="M42" s="3" t="s">
        <v>23</v>
      </c>
      <c r="N42" s="7" t="s">
        <v>77</v>
      </c>
    </row>
    <row r="43" spans="1:14" x14ac:dyDescent="0.35">
      <c r="A43" s="4" t="s">
        <v>74</v>
      </c>
      <c r="B43" s="3" t="s">
        <v>104</v>
      </c>
      <c r="C43" s="3" t="s">
        <v>103</v>
      </c>
      <c r="D43" s="5">
        <v>16.004376000000001</v>
      </c>
      <c r="E43" s="5">
        <v>-85.979467</v>
      </c>
      <c r="F43" s="3">
        <v>1955</v>
      </c>
      <c r="G43" s="12">
        <v>1968</v>
      </c>
      <c r="H43" s="5">
        <f t="shared" si="0"/>
        <v>14</v>
      </c>
      <c r="I43" s="11" t="s">
        <v>16</v>
      </c>
      <c r="J43" s="5">
        <v>0</v>
      </c>
      <c r="K43" s="3" t="s">
        <v>741</v>
      </c>
      <c r="L43" s="3" t="s">
        <v>10</v>
      </c>
      <c r="M43" s="3" t="s">
        <v>23</v>
      </c>
      <c r="N43" s="7" t="s">
        <v>77</v>
      </c>
    </row>
    <row r="44" spans="1:14" x14ac:dyDescent="0.35">
      <c r="A44" s="4" t="s">
        <v>74</v>
      </c>
      <c r="B44" s="3" t="s">
        <v>105</v>
      </c>
      <c r="C44" s="3" t="s">
        <v>106</v>
      </c>
      <c r="D44" s="5">
        <v>17.935072999999999</v>
      </c>
      <c r="E44" s="5">
        <v>-76.844637000000006</v>
      </c>
      <c r="F44" s="3">
        <v>1965</v>
      </c>
      <c r="G44" s="12">
        <v>1968</v>
      </c>
      <c r="H44" s="5">
        <f t="shared" si="0"/>
        <v>4</v>
      </c>
      <c r="I44" s="11" t="s">
        <v>16</v>
      </c>
      <c r="J44" s="5">
        <v>0</v>
      </c>
      <c r="K44" s="3" t="s">
        <v>741</v>
      </c>
      <c r="L44" s="3" t="s">
        <v>10</v>
      </c>
      <c r="M44" s="3" t="s">
        <v>23</v>
      </c>
      <c r="N44" s="7" t="s">
        <v>77</v>
      </c>
    </row>
    <row r="45" spans="1:14" x14ac:dyDescent="0.35">
      <c r="A45" s="4" t="s">
        <v>74</v>
      </c>
      <c r="B45" s="3" t="s">
        <v>107</v>
      </c>
      <c r="C45" s="3" t="s">
        <v>108</v>
      </c>
      <c r="D45" s="5">
        <v>19.919588000000001</v>
      </c>
      <c r="E45" s="5">
        <v>-75.162803999999994</v>
      </c>
      <c r="F45" s="3">
        <v>1937</v>
      </c>
      <c r="G45" s="12">
        <v>1948</v>
      </c>
      <c r="H45" s="5">
        <f t="shared" si="0"/>
        <v>12</v>
      </c>
      <c r="I45" s="11" t="s">
        <v>16</v>
      </c>
      <c r="J45" s="5">
        <v>0</v>
      </c>
      <c r="K45" s="3" t="s">
        <v>741</v>
      </c>
      <c r="L45" s="3" t="s">
        <v>10</v>
      </c>
      <c r="M45" s="3" t="s">
        <v>23</v>
      </c>
      <c r="N45" s="7" t="s">
        <v>77</v>
      </c>
    </row>
    <row r="46" spans="1:14" x14ac:dyDescent="0.35">
      <c r="A46" s="4" t="s">
        <v>74</v>
      </c>
      <c r="B46" s="3" t="s">
        <v>109</v>
      </c>
      <c r="C46" s="3" t="s">
        <v>31</v>
      </c>
      <c r="D46" s="5">
        <v>18.338353999999999</v>
      </c>
      <c r="E46" s="5">
        <v>-65.633853999999999</v>
      </c>
      <c r="F46" s="3">
        <v>1921</v>
      </c>
      <c r="G46" s="12">
        <v>1923</v>
      </c>
      <c r="H46" s="5">
        <f t="shared" si="0"/>
        <v>3</v>
      </c>
      <c r="I46" s="11" t="s">
        <v>16</v>
      </c>
      <c r="J46" s="5">
        <v>0</v>
      </c>
      <c r="K46" s="3" t="s">
        <v>741</v>
      </c>
      <c r="L46" s="3" t="s">
        <v>10</v>
      </c>
      <c r="M46" s="3" t="s">
        <v>23</v>
      </c>
      <c r="N46" s="7" t="s">
        <v>77</v>
      </c>
    </row>
    <row r="47" spans="1:14" x14ac:dyDescent="0.35">
      <c r="A47" s="4" t="s">
        <v>74</v>
      </c>
      <c r="B47" s="3" t="s">
        <v>110</v>
      </c>
      <c r="C47" s="3" t="s">
        <v>111</v>
      </c>
      <c r="D47" s="5">
        <v>32.290323000000001</v>
      </c>
      <c r="E47" s="5">
        <v>-64.787797999999995</v>
      </c>
      <c r="F47" s="3">
        <v>1933</v>
      </c>
      <c r="G47" s="12">
        <v>1949</v>
      </c>
      <c r="H47" s="5">
        <f t="shared" si="0"/>
        <v>17</v>
      </c>
      <c r="I47" s="11" t="s">
        <v>16</v>
      </c>
      <c r="J47" s="5">
        <v>0</v>
      </c>
      <c r="K47" s="3" t="s">
        <v>741</v>
      </c>
      <c r="L47" s="3" t="s">
        <v>10</v>
      </c>
      <c r="M47" s="3" t="s">
        <v>23</v>
      </c>
      <c r="N47" s="7" t="s">
        <v>77</v>
      </c>
    </row>
    <row r="48" spans="1:14" x14ac:dyDescent="0.35">
      <c r="A48" s="4" t="s">
        <v>74</v>
      </c>
      <c r="B48" s="3" t="s">
        <v>112</v>
      </c>
      <c r="C48" s="3" t="s">
        <v>113</v>
      </c>
      <c r="D48" s="5">
        <v>13.095783000000001</v>
      </c>
      <c r="E48" s="5">
        <v>-59.620367999999999</v>
      </c>
      <c r="F48" s="3">
        <v>1968</v>
      </c>
      <c r="G48" s="12">
        <v>1970</v>
      </c>
      <c r="H48" s="5">
        <f t="shared" si="0"/>
        <v>3</v>
      </c>
      <c r="I48" s="11" t="s">
        <v>16</v>
      </c>
      <c r="J48" s="5">
        <v>0</v>
      </c>
      <c r="K48" s="3" t="s">
        <v>741</v>
      </c>
      <c r="L48" s="3" t="s">
        <v>10</v>
      </c>
      <c r="M48" s="3" t="s">
        <v>23</v>
      </c>
      <c r="N48" s="7" t="s">
        <v>77</v>
      </c>
    </row>
    <row r="49" spans="1:14" x14ac:dyDescent="0.35">
      <c r="A49" s="4" t="s">
        <v>74</v>
      </c>
      <c r="B49" s="3" t="s">
        <v>114</v>
      </c>
      <c r="C49" s="3" t="s">
        <v>31</v>
      </c>
      <c r="D49" s="5">
        <v>5.8875739999999999</v>
      </c>
      <c r="E49" s="5">
        <v>-162.08712800000001</v>
      </c>
      <c r="F49" s="3">
        <v>1947</v>
      </c>
      <c r="G49" s="12">
        <v>1950</v>
      </c>
      <c r="H49" s="5">
        <f t="shared" si="0"/>
        <v>4</v>
      </c>
      <c r="I49" s="11" t="s">
        <v>16</v>
      </c>
      <c r="J49" s="5">
        <v>0</v>
      </c>
      <c r="K49" s="3" t="s">
        <v>741</v>
      </c>
      <c r="L49" s="3" t="s">
        <v>10</v>
      </c>
      <c r="M49" s="3" t="s">
        <v>23</v>
      </c>
      <c r="N49" s="7" t="s">
        <v>77</v>
      </c>
    </row>
    <row r="50" spans="1:14" x14ac:dyDescent="0.35">
      <c r="A50" s="4" t="s">
        <v>74</v>
      </c>
      <c r="B50" s="3" t="s">
        <v>115</v>
      </c>
      <c r="C50" s="3" t="s">
        <v>81</v>
      </c>
      <c r="D50" s="5">
        <v>13.338308</v>
      </c>
      <c r="E50" s="5">
        <v>-87.841070000000002</v>
      </c>
      <c r="F50" s="3">
        <v>1954</v>
      </c>
      <c r="G50" s="12">
        <v>1966</v>
      </c>
      <c r="H50" s="5">
        <f t="shared" si="0"/>
        <v>13</v>
      </c>
      <c r="I50" s="11" t="s">
        <v>16</v>
      </c>
      <c r="J50" s="5">
        <v>0</v>
      </c>
      <c r="K50" s="3" t="s">
        <v>741</v>
      </c>
      <c r="L50" s="3" t="s">
        <v>10</v>
      </c>
      <c r="M50" s="3" t="s">
        <v>23</v>
      </c>
      <c r="N50" s="7" t="s">
        <v>77</v>
      </c>
    </row>
    <row r="51" spans="1:14" x14ac:dyDescent="0.35">
      <c r="A51" s="4" t="s">
        <v>74</v>
      </c>
      <c r="B51" s="3" t="s">
        <v>116</v>
      </c>
      <c r="C51" s="3" t="s">
        <v>117</v>
      </c>
      <c r="D51" s="5">
        <v>12.477584999999999</v>
      </c>
      <c r="E51" s="5">
        <v>-87.170426000000006</v>
      </c>
      <c r="F51" s="3">
        <v>1967</v>
      </c>
      <c r="G51" s="12">
        <v>1967</v>
      </c>
      <c r="H51" s="5">
        <f t="shared" si="0"/>
        <v>1</v>
      </c>
      <c r="I51" s="11" t="s">
        <v>16</v>
      </c>
      <c r="J51" s="5">
        <v>0</v>
      </c>
      <c r="K51" s="3" t="s">
        <v>741</v>
      </c>
      <c r="L51" s="3" t="s">
        <v>10</v>
      </c>
      <c r="M51" s="3" t="s">
        <v>23</v>
      </c>
      <c r="N51" s="7" t="s">
        <v>77</v>
      </c>
    </row>
    <row r="52" spans="1:14" x14ac:dyDescent="0.35">
      <c r="A52" s="4" t="s">
        <v>74</v>
      </c>
      <c r="B52" s="3" t="s">
        <v>118</v>
      </c>
      <c r="C52" s="3" t="s">
        <v>84</v>
      </c>
      <c r="D52" s="5">
        <v>9.2578759999999996</v>
      </c>
      <c r="E52" s="5">
        <v>-79.907186999999993</v>
      </c>
      <c r="F52" s="3">
        <v>1907</v>
      </c>
      <c r="G52" s="12">
        <v>1974</v>
      </c>
      <c r="H52" s="5">
        <f t="shared" si="0"/>
        <v>68</v>
      </c>
      <c r="I52" s="11" t="s">
        <v>16</v>
      </c>
      <c r="J52" s="5">
        <v>0</v>
      </c>
      <c r="K52" s="3" t="s">
        <v>741</v>
      </c>
      <c r="L52" s="3" t="s">
        <v>10</v>
      </c>
      <c r="M52" s="3" t="s">
        <v>23</v>
      </c>
      <c r="N52" s="7" t="s">
        <v>77</v>
      </c>
    </row>
    <row r="53" spans="1:14" x14ac:dyDescent="0.35">
      <c r="A53" s="4" t="s">
        <v>74</v>
      </c>
      <c r="B53" s="3" t="s">
        <v>119</v>
      </c>
      <c r="C53" s="3" t="s">
        <v>120</v>
      </c>
      <c r="D53" s="5">
        <v>10.186114</v>
      </c>
      <c r="E53" s="5">
        <v>-61.691892000000003</v>
      </c>
      <c r="F53" s="3">
        <v>1987</v>
      </c>
      <c r="G53" s="12">
        <v>1996</v>
      </c>
      <c r="H53" s="5">
        <f t="shared" si="0"/>
        <v>10</v>
      </c>
      <c r="I53" s="11" t="s">
        <v>16</v>
      </c>
      <c r="J53" s="5">
        <v>0</v>
      </c>
      <c r="K53" s="3" t="s">
        <v>741</v>
      </c>
      <c r="L53" s="3" t="s">
        <v>10</v>
      </c>
      <c r="M53" s="3" t="s">
        <v>23</v>
      </c>
      <c r="N53" s="7" t="s">
        <v>77</v>
      </c>
    </row>
    <row r="54" spans="1:14" x14ac:dyDescent="0.35">
      <c r="A54" s="4" t="s">
        <v>74</v>
      </c>
      <c r="B54" s="3" t="s">
        <v>121</v>
      </c>
      <c r="C54" s="3" t="s">
        <v>120</v>
      </c>
      <c r="D54" s="5">
        <v>10.64817</v>
      </c>
      <c r="E54" s="5">
        <v>-61.513793</v>
      </c>
      <c r="F54" s="3">
        <v>1984</v>
      </c>
      <c r="G54" s="12">
        <v>1992</v>
      </c>
      <c r="H54" s="5">
        <f t="shared" si="0"/>
        <v>9</v>
      </c>
      <c r="I54" s="11" t="s">
        <v>16</v>
      </c>
      <c r="J54" s="5">
        <v>0</v>
      </c>
      <c r="K54" s="3" t="s">
        <v>741</v>
      </c>
      <c r="L54" s="3" t="s">
        <v>10</v>
      </c>
      <c r="M54" s="3" t="s">
        <v>23</v>
      </c>
      <c r="N54" s="7" t="s">
        <v>77</v>
      </c>
    </row>
    <row r="55" spans="1:14" x14ac:dyDescent="0.35">
      <c r="A55" s="4" t="s">
        <v>122</v>
      </c>
      <c r="B55" s="3" t="s">
        <v>123</v>
      </c>
      <c r="C55" s="3" t="s">
        <v>31</v>
      </c>
      <c r="D55" s="5">
        <v>37.810837999999997</v>
      </c>
      <c r="E55" s="5">
        <v>-122.47667300000001</v>
      </c>
      <c r="F55" s="3">
        <v>1854</v>
      </c>
      <c r="G55" s="12">
        <v>1877</v>
      </c>
      <c r="H55" s="5">
        <f t="shared" si="0"/>
        <v>23.5</v>
      </c>
      <c r="I55" s="11" t="s">
        <v>124</v>
      </c>
      <c r="J55" s="5">
        <v>0.5</v>
      </c>
      <c r="K55" s="3" t="s">
        <v>16</v>
      </c>
      <c r="L55" s="3" t="s">
        <v>32</v>
      </c>
      <c r="M55" s="3" t="s">
        <v>23</v>
      </c>
      <c r="N55" s="7" t="s">
        <v>125</v>
      </c>
    </row>
    <row r="56" spans="1:14" x14ac:dyDescent="0.35">
      <c r="A56" s="4" t="s">
        <v>122</v>
      </c>
      <c r="B56" s="3" t="s">
        <v>126</v>
      </c>
      <c r="C56" s="3" t="s">
        <v>31</v>
      </c>
      <c r="D56" s="5">
        <v>37.805551999999999</v>
      </c>
      <c r="E56" s="5">
        <v>-122.45415300000001</v>
      </c>
      <c r="F56" s="3">
        <v>1897</v>
      </c>
      <c r="G56" s="12">
        <v>2000</v>
      </c>
      <c r="H56" s="5">
        <f t="shared" si="0"/>
        <v>103.5</v>
      </c>
      <c r="I56" s="11" t="s">
        <v>127</v>
      </c>
      <c r="J56" s="5">
        <v>0.5</v>
      </c>
      <c r="K56" s="3" t="s">
        <v>16</v>
      </c>
      <c r="L56" s="3" t="s">
        <v>32</v>
      </c>
      <c r="M56" s="3" t="s">
        <v>23</v>
      </c>
      <c r="N56" s="7" t="s">
        <v>125</v>
      </c>
    </row>
    <row r="57" spans="1:14" x14ac:dyDescent="0.35">
      <c r="A57" s="4" t="s">
        <v>128</v>
      </c>
      <c r="B57" s="3" t="s">
        <v>129</v>
      </c>
      <c r="C57" s="3" t="s">
        <v>130</v>
      </c>
      <c r="D57" s="8">
        <v>-41.28434</v>
      </c>
      <c r="E57" s="8">
        <v>174.77979999999999</v>
      </c>
      <c r="F57" s="3">
        <v>1891</v>
      </c>
      <c r="G57" s="3">
        <v>1893</v>
      </c>
      <c r="H57" s="5">
        <f t="shared" si="0"/>
        <v>3</v>
      </c>
      <c r="I57" s="3" t="s">
        <v>16</v>
      </c>
      <c r="J57" s="5">
        <v>0</v>
      </c>
      <c r="K57" s="3" t="s">
        <v>741</v>
      </c>
      <c r="L57" s="3" t="s">
        <v>10</v>
      </c>
      <c r="M57" s="3" t="s">
        <v>23</v>
      </c>
      <c r="N57" s="7" t="s">
        <v>131</v>
      </c>
    </row>
    <row r="58" spans="1:14" x14ac:dyDescent="0.35">
      <c r="A58" s="4" t="s">
        <v>132</v>
      </c>
      <c r="B58" s="3" t="s">
        <v>133</v>
      </c>
      <c r="C58" s="3" t="s">
        <v>94</v>
      </c>
      <c r="D58" s="5" t="s">
        <v>16</v>
      </c>
      <c r="E58" s="5" t="s">
        <v>16</v>
      </c>
      <c r="F58" s="3">
        <v>1679</v>
      </c>
      <c r="G58" s="3">
        <v>1679</v>
      </c>
      <c r="H58" s="5">
        <f t="shared" si="0"/>
        <v>2.1902806297056765E-2</v>
      </c>
      <c r="I58" s="3" t="s">
        <v>16</v>
      </c>
      <c r="J58" s="5">
        <f>(365.25-8)/365.25</f>
        <v>0.97809719370294324</v>
      </c>
      <c r="K58" s="3" t="s">
        <v>741</v>
      </c>
      <c r="L58" s="3" t="s">
        <v>10</v>
      </c>
      <c r="M58" s="3" t="s">
        <v>32</v>
      </c>
      <c r="N58" s="6" t="s">
        <v>134</v>
      </c>
    </row>
    <row r="59" spans="1:14" x14ac:dyDescent="0.35">
      <c r="A59" s="4" t="s">
        <v>132</v>
      </c>
      <c r="B59" s="3" t="s">
        <v>135</v>
      </c>
      <c r="C59" s="3" t="s">
        <v>94</v>
      </c>
      <c r="D59" s="5">
        <v>48.380504000000002</v>
      </c>
      <c r="E59" s="5">
        <v>-4.4967730000000001</v>
      </c>
      <c r="F59" s="3">
        <v>1692</v>
      </c>
      <c r="G59" s="3">
        <v>1716</v>
      </c>
      <c r="H59" s="5">
        <f t="shared" si="0"/>
        <v>7</v>
      </c>
      <c r="I59" s="11" t="s">
        <v>136</v>
      </c>
      <c r="J59" s="5">
        <v>18</v>
      </c>
      <c r="K59" s="3" t="s">
        <v>741</v>
      </c>
      <c r="L59" s="3" t="s">
        <v>10</v>
      </c>
      <c r="M59" s="3" t="s">
        <v>137</v>
      </c>
      <c r="N59" s="6" t="s">
        <v>134</v>
      </c>
    </row>
    <row r="60" spans="1:14" x14ac:dyDescent="0.35">
      <c r="A60" s="4" t="s">
        <v>132</v>
      </c>
      <c r="B60" s="3" t="s">
        <v>138</v>
      </c>
      <c r="C60" s="3" t="s">
        <v>94</v>
      </c>
      <c r="D60" s="5">
        <v>48.386029999999998</v>
      </c>
      <c r="E60" s="5">
        <v>-4.493512</v>
      </c>
      <c r="F60" s="3">
        <v>1757</v>
      </c>
      <c r="G60" s="3">
        <v>1832</v>
      </c>
      <c r="H60" s="5">
        <f t="shared" si="0"/>
        <v>44</v>
      </c>
      <c r="I60" s="11" t="s">
        <v>139</v>
      </c>
      <c r="J60" s="5">
        <f>18+1+13</f>
        <v>32</v>
      </c>
      <c r="K60" s="3" t="s">
        <v>741</v>
      </c>
      <c r="L60" s="3" t="s">
        <v>10</v>
      </c>
      <c r="M60" s="3" t="s">
        <v>137</v>
      </c>
      <c r="N60" s="6" t="s">
        <v>134</v>
      </c>
    </row>
    <row r="61" spans="1:14" x14ac:dyDescent="0.35">
      <c r="A61" s="4" t="s">
        <v>132</v>
      </c>
      <c r="B61" s="3" t="s">
        <v>140</v>
      </c>
      <c r="C61" s="3" t="s">
        <v>94</v>
      </c>
      <c r="D61" s="5">
        <v>48.382953000000001</v>
      </c>
      <c r="E61" s="5">
        <v>-4.4948420000000002</v>
      </c>
      <c r="F61" s="3">
        <v>1846</v>
      </c>
      <c r="G61" s="3">
        <v>2008</v>
      </c>
      <c r="H61" s="5">
        <f>(1+(G61-F61))-J61</f>
        <v>119</v>
      </c>
      <c r="I61" s="11" t="s">
        <v>141</v>
      </c>
      <c r="J61" s="5">
        <v>44</v>
      </c>
      <c r="K61" s="3" t="s">
        <v>261</v>
      </c>
      <c r="L61" s="3" t="s">
        <v>10</v>
      </c>
      <c r="M61" s="3" t="s">
        <v>23</v>
      </c>
      <c r="N61" s="6" t="s">
        <v>134</v>
      </c>
    </row>
    <row r="62" spans="1:14" x14ac:dyDescent="0.35">
      <c r="A62" s="4" t="s">
        <v>132</v>
      </c>
      <c r="B62" s="3" t="s">
        <v>140</v>
      </c>
      <c r="C62" s="3" t="s">
        <v>94</v>
      </c>
      <c r="D62" s="5">
        <v>48.382953000000001</v>
      </c>
      <c r="E62" s="5">
        <v>-4.4948420000000002</v>
      </c>
      <c r="F62" s="3">
        <v>1807</v>
      </c>
      <c r="G62" s="3">
        <v>1812</v>
      </c>
      <c r="H62" s="5">
        <f>(1+(G62-F62))-J62</f>
        <v>6</v>
      </c>
      <c r="I62" s="3" t="s">
        <v>16</v>
      </c>
      <c r="J62" s="3">
        <v>0</v>
      </c>
      <c r="K62" s="3" t="s">
        <v>741</v>
      </c>
      <c r="L62" s="3" t="s">
        <v>10</v>
      </c>
      <c r="M62" s="3" t="s">
        <v>137</v>
      </c>
      <c r="N62" s="6" t="s">
        <v>134</v>
      </c>
    </row>
    <row r="63" spans="1:14" x14ac:dyDescent="0.35">
      <c r="A63" s="4" t="s">
        <v>142</v>
      </c>
      <c r="B63" s="3" t="s">
        <v>143</v>
      </c>
      <c r="C63" s="3" t="s">
        <v>144</v>
      </c>
      <c r="D63" s="5">
        <v>-49.352224999999997</v>
      </c>
      <c r="E63" s="5">
        <v>70.219514000000004</v>
      </c>
      <c r="F63" s="3">
        <v>1950</v>
      </c>
      <c r="G63" s="3">
        <v>1963</v>
      </c>
      <c r="H63" s="5">
        <f t="shared" si="0"/>
        <v>1.7973990417522252</v>
      </c>
      <c r="I63" s="3" t="s">
        <v>145</v>
      </c>
      <c r="J63" s="5">
        <f>12+((31+28+15)/365.25)</f>
        <v>12.202600958247775</v>
      </c>
      <c r="K63" s="3" t="s">
        <v>741</v>
      </c>
      <c r="L63" s="3" t="s">
        <v>10</v>
      </c>
      <c r="M63" s="3" t="s">
        <v>38</v>
      </c>
      <c r="N63" s="6" t="s">
        <v>146</v>
      </c>
    </row>
    <row r="64" spans="1:14" x14ac:dyDescent="0.35">
      <c r="A64" s="4" t="s">
        <v>142</v>
      </c>
      <c r="B64" s="3" t="s">
        <v>143</v>
      </c>
      <c r="C64" s="3" t="s">
        <v>144</v>
      </c>
      <c r="D64" s="5">
        <v>-49.352224999999997</v>
      </c>
      <c r="E64" s="5">
        <v>70.219514000000004</v>
      </c>
      <c r="F64" s="3">
        <v>1962</v>
      </c>
      <c r="G64" s="3">
        <v>1972</v>
      </c>
      <c r="H64" s="5">
        <f t="shared" si="0"/>
        <v>1.2634446691001457</v>
      </c>
      <c r="I64" s="3" t="s">
        <v>147</v>
      </c>
      <c r="J64" s="5">
        <f>((31+30+31+31+31+28+14)/365.2)+9+((17+31+25)/365.25)</f>
        <v>9.7365553308998543</v>
      </c>
      <c r="K64" s="3" t="s">
        <v>261</v>
      </c>
      <c r="L64" s="3" t="s">
        <v>10</v>
      </c>
      <c r="M64" s="3" t="s">
        <v>23</v>
      </c>
      <c r="N64" s="6" t="s">
        <v>146</v>
      </c>
    </row>
    <row r="65" spans="1:22" x14ac:dyDescent="0.35">
      <c r="A65" s="4" t="s">
        <v>148</v>
      </c>
      <c r="B65" s="3" t="s">
        <v>149</v>
      </c>
      <c r="C65" s="3" t="s">
        <v>31</v>
      </c>
      <c r="D65" s="5">
        <v>21.312847000000001</v>
      </c>
      <c r="E65" s="5">
        <v>-157.86618899999999</v>
      </c>
      <c r="F65" s="3">
        <v>1905</v>
      </c>
      <c r="G65" s="3">
        <v>2000</v>
      </c>
      <c r="H65" s="5">
        <f t="shared" si="0"/>
        <v>83</v>
      </c>
      <c r="I65" s="3" t="s">
        <v>739</v>
      </c>
      <c r="J65" s="5">
        <v>13</v>
      </c>
      <c r="K65" s="3" t="s">
        <v>261</v>
      </c>
      <c r="L65" s="3" t="s">
        <v>32</v>
      </c>
      <c r="M65" s="3" t="s">
        <v>23</v>
      </c>
      <c r="N65" s="6" t="s">
        <v>150</v>
      </c>
    </row>
    <row r="66" spans="1:22" x14ac:dyDescent="0.35">
      <c r="A66" s="4" t="s">
        <v>148</v>
      </c>
      <c r="B66" s="3" t="s">
        <v>151</v>
      </c>
      <c r="C66" s="3" t="s">
        <v>31</v>
      </c>
      <c r="D66" s="5">
        <v>19.724398000000001</v>
      </c>
      <c r="E66" s="5">
        <v>-155.070988</v>
      </c>
      <c r="F66" s="3">
        <v>1947</v>
      </c>
      <c r="G66" s="3">
        <v>2000</v>
      </c>
      <c r="H66" s="5">
        <f t="shared" si="0"/>
        <v>54</v>
      </c>
      <c r="I66" s="3" t="s">
        <v>16</v>
      </c>
      <c r="J66" s="5">
        <v>0</v>
      </c>
      <c r="K66" s="3" t="s">
        <v>261</v>
      </c>
      <c r="L66" s="3" t="s">
        <v>32</v>
      </c>
      <c r="M66" s="3" t="s">
        <v>23</v>
      </c>
      <c r="N66" s="6" t="s">
        <v>150</v>
      </c>
    </row>
    <row r="67" spans="1:22" s="12" customFormat="1" x14ac:dyDescent="0.35">
      <c r="A67" s="13" t="s">
        <v>152</v>
      </c>
      <c r="B67" s="14" t="s">
        <v>153</v>
      </c>
      <c r="C67" s="14" t="s">
        <v>154</v>
      </c>
      <c r="D67" s="8">
        <v>45.432448999999998</v>
      </c>
      <c r="E67" s="8">
        <v>12.337565</v>
      </c>
      <c r="F67" s="12">
        <v>1872</v>
      </c>
      <c r="G67" s="12">
        <v>1897</v>
      </c>
      <c r="H67" s="5">
        <f t="shared" si="0"/>
        <v>24.76</v>
      </c>
      <c r="I67" s="12" t="s">
        <v>155</v>
      </c>
      <c r="J67" s="15">
        <v>1.24</v>
      </c>
      <c r="K67" s="12" t="s">
        <v>32</v>
      </c>
      <c r="L67" s="12" t="s">
        <v>10</v>
      </c>
      <c r="M67" s="12" t="s">
        <v>17</v>
      </c>
      <c r="N67" s="16" t="s">
        <v>156</v>
      </c>
      <c r="O67" s="17"/>
      <c r="P67" s="17"/>
      <c r="Q67" s="17"/>
      <c r="R67" s="17"/>
      <c r="S67" s="17"/>
      <c r="T67" s="17"/>
      <c r="U67" s="17"/>
      <c r="V67" s="17"/>
    </row>
    <row r="68" spans="1:22" s="12" customFormat="1" x14ac:dyDescent="0.35">
      <c r="A68" s="13" t="s">
        <v>152</v>
      </c>
      <c r="B68" s="14" t="s">
        <v>157</v>
      </c>
      <c r="C68" s="14" t="s">
        <v>154</v>
      </c>
      <c r="D68" s="8">
        <v>45.433137000000002</v>
      </c>
      <c r="E68" s="8">
        <v>12.330005999999999</v>
      </c>
      <c r="F68" s="12">
        <v>1897</v>
      </c>
      <c r="G68" s="12">
        <v>1908</v>
      </c>
      <c r="H68" s="5">
        <f t="shared" si="0"/>
        <v>2.59</v>
      </c>
      <c r="I68" s="12" t="s">
        <v>158</v>
      </c>
      <c r="J68">
        <v>9.41</v>
      </c>
      <c r="K68" s="12" t="s">
        <v>32</v>
      </c>
      <c r="L68" s="12" t="s">
        <v>10</v>
      </c>
      <c r="M68" s="12" t="s">
        <v>17</v>
      </c>
      <c r="N68" s="16" t="s">
        <v>156</v>
      </c>
      <c r="O68" s="17"/>
      <c r="P68" s="17"/>
      <c r="Q68" s="17"/>
      <c r="R68" s="17"/>
      <c r="S68" s="17"/>
      <c r="T68" s="17"/>
      <c r="U68" s="17"/>
      <c r="V68" s="17"/>
    </row>
    <row r="69" spans="1:22" s="12" customFormat="1" x14ac:dyDescent="0.35">
      <c r="A69" s="13" t="s">
        <v>152</v>
      </c>
      <c r="B69" s="14" t="s">
        <v>159</v>
      </c>
      <c r="C69" s="14" t="s">
        <v>154</v>
      </c>
      <c r="D69" s="8">
        <v>45.43</v>
      </c>
      <c r="E69" s="8">
        <v>12.33</v>
      </c>
      <c r="F69" s="12">
        <v>1909</v>
      </c>
      <c r="G69" s="12">
        <v>2004</v>
      </c>
      <c r="H69" s="5">
        <f t="shared" si="0"/>
        <v>92.5</v>
      </c>
      <c r="I69" s="12" t="s">
        <v>160</v>
      </c>
      <c r="J69" s="15">
        <v>3.5</v>
      </c>
      <c r="K69" s="12" t="s">
        <v>32</v>
      </c>
      <c r="L69" s="12" t="s">
        <v>10</v>
      </c>
      <c r="M69" s="12" t="s">
        <v>17</v>
      </c>
      <c r="N69" s="16" t="s">
        <v>156</v>
      </c>
      <c r="O69" s="17"/>
      <c r="P69" s="17"/>
      <c r="Q69" s="17"/>
      <c r="R69" s="17"/>
      <c r="S69" s="17"/>
      <c r="T69" s="17"/>
      <c r="U69" s="17"/>
      <c r="V69" s="17"/>
    </row>
    <row r="70" spans="1:22" s="12" customFormat="1" x14ac:dyDescent="0.35">
      <c r="A70" s="13" t="s">
        <v>152</v>
      </c>
      <c r="B70" s="14" t="s">
        <v>161</v>
      </c>
      <c r="C70" s="14" t="s">
        <v>154</v>
      </c>
      <c r="D70" s="8">
        <v>45.433984000000002</v>
      </c>
      <c r="E70" s="8">
        <v>12.350166</v>
      </c>
      <c r="F70" s="12">
        <v>1910</v>
      </c>
      <c r="G70" s="12">
        <v>1910</v>
      </c>
      <c r="H70" s="5">
        <f t="shared" si="0"/>
        <v>0.17000000000000004</v>
      </c>
      <c r="I70" s="12" t="s">
        <v>162</v>
      </c>
      <c r="J70" s="15">
        <v>0.83</v>
      </c>
      <c r="K70" s="12" t="s">
        <v>32</v>
      </c>
      <c r="L70" s="12" t="s">
        <v>10</v>
      </c>
      <c r="M70" s="12" t="s">
        <v>17</v>
      </c>
      <c r="N70" s="16" t="s">
        <v>156</v>
      </c>
      <c r="O70" s="17"/>
      <c r="P70" s="17"/>
      <c r="Q70" s="17"/>
      <c r="R70" s="17"/>
      <c r="S70" s="17"/>
      <c r="T70" s="17"/>
      <c r="U70" s="17"/>
      <c r="V70" s="17"/>
    </row>
    <row r="71" spans="1:22" s="12" customFormat="1" x14ac:dyDescent="0.35">
      <c r="A71" s="13" t="s">
        <v>152</v>
      </c>
      <c r="B71" s="14" t="s">
        <v>163</v>
      </c>
      <c r="C71" s="14" t="s">
        <v>154</v>
      </c>
      <c r="D71" s="8">
        <v>45.42</v>
      </c>
      <c r="E71" s="8">
        <v>12.42</v>
      </c>
      <c r="F71" s="12">
        <v>1914</v>
      </c>
      <c r="G71" s="12">
        <v>1921</v>
      </c>
      <c r="H71" s="5">
        <f t="shared" si="0"/>
        <v>3.9400000000000004</v>
      </c>
      <c r="I71" s="12" t="s">
        <v>164</v>
      </c>
      <c r="J71" s="15">
        <v>4.0599999999999996</v>
      </c>
      <c r="K71" s="12" t="s">
        <v>32</v>
      </c>
      <c r="L71" s="12" t="s">
        <v>10</v>
      </c>
      <c r="M71" s="12" t="s">
        <v>17</v>
      </c>
      <c r="N71" s="16" t="s">
        <v>156</v>
      </c>
      <c r="O71" s="17"/>
      <c r="P71" s="17"/>
      <c r="Q71" s="17"/>
      <c r="R71" s="17"/>
      <c r="S71" s="17"/>
      <c r="T71" s="17"/>
      <c r="U71" s="17"/>
      <c r="V71" s="17"/>
    </row>
    <row r="72" spans="1:22" s="12" customFormat="1" x14ac:dyDescent="0.35">
      <c r="A72" s="13" t="s">
        <v>152</v>
      </c>
      <c r="B72" s="14" t="s">
        <v>165</v>
      </c>
      <c r="C72" s="14" t="s">
        <v>154</v>
      </c>
      <c r="D72" s="8">
        <v>45.443401999999999</v>
      </c>
      <c r="E72" s="8">
        <v>12.332060999999999</v>
      </c>
      <c r="F72" s="12">
        <v>1916</v>
      </c>
      <c r="G72" s="12">
        <v>1916</v>
      </c>
      <c r="H72" s="5">
        <f t="shared" si="0"/>
        <v>0.42000000000000004</v>
      </c>
      <c r="I72" s="12" t="s">
        <v>166</v>
      </c>
      <c r="J72" s="15">
        <v>0.57999999999999996</v>
      </c>
      <c r="K72" s="12" t="s">
        <v>32</v>
      </c>
      <c r="L72" s="12" t="s">
        <v>10</v>
      </c>
      <c r="M72" s="12" t="s">
        <v>17</v>
      </c>
      <c r="N72" s="16" t="s">
        <v>156</v>
      </c>
      <c r="O72" s="17"/>
      <c r="P72" s="17"/>
      <c r="Q72" s="17"/>
      <c r="R72" s="17"/>
      <c r="S72" s="17"/>
      <c r="T72" s="17"/>
      <c r="U72" s="17"/>
      <c r="V72" s="17"/>
    </row>
    <row r="73" spans="1:22" s="12" customFormat="1" x14ac:dyDescent="0.35">
      <c r="A73" s="13" t="s">
        <v>152</v>
      </c>
      <c r="B73" s="14" t="s">
        <v>167</v>
      </c>
      <c r="C73" s="14" t="s">
        <v>154</v>
      </c>
      <c r="D73" s="8">
        <v>45.370944999999999</v>
      </c>
      <c r="E73" s="8">
        <v>12.337096000000001</v>
      </c>
      <c r="F73" s="12">
        <v>1919</v>
      </c>
      <c r="G73" s="12">
        <v>1919</v>
      </c>
      <c r="H73" s="5">
        <f t="shared" si="0"/>
        <v>7.999999999999996E-2</v>
      </c>
      <c r="I73" s="12" t="s">
        <v>168</v>
      </c>
      <c r="J73" s="15">
        <v>0.92</v>
      </c>
      <c r="K73" s="12" t="s">
        <v>32</v>
      </c>
      <c r="L73" s="12" t="s">
        <v>10</v>
      </c>
      <c r="M73" s="12" t="s">
        <v>17</v>
      </c>
      <c r="N73" s="16" t="s">
        <v>156</v>
      </c>
      <c r="O73" s="17"/>
      <c r="P73" s="17"/>
      <c r="Q73" s="17"/>
      <c r="R73" s="17"/>
      <c r="S73" s="17"/>
      <c r="T73" s="17"/>
      <c r="U73" s="17"/>
      <c r="V73" s="17"/>
    </row>
    <row r="74" spans="1:22" x14ac:dyDescent="0.35">
      <c r="A74" s="13" t="s">
        <v>169</v>
      </c>
      <c r="B74" s="14" t="s">
        <v>170</v>
      </c>
      <c r="C74" s="14" t="s">
        <v>154</v>
      </c>
      <c r="D74" s="8">
        <v>45.649358999999997</v>
      </c>
      <c r="E74" s="8">
        <v>13.761654</v>
      </c>
      <c r="F74" s="3">
        <v>1875</v>
      </c>
      <c r="G74" s="3">
        <v>1914</v>
      </c>
      <c r="H74" s="5">
        <f t="shared" si="0"/>
        <v>39</v>
      </c>
      <c r="I74" s="3">
        <v>1900</v>
      </c>
      <c r="J74" s="5">
        <v>1</v>
      </c>
      <c r="K74" s="3" t="s">
        <v>741</v>
      </c>
      <c r="L74" s="3" t="s">
        <v>10</v>
      </c>
      <c r="M74" s="3" t="s">
        <v>38</v>
      </c>
      <c r="N74" s="6" t="s">
        <v>171</v>
      </c>
    </row>
    <row r="75" spans="1:22" x14ac:dyDescent="0.35">
      <c r="A75" s="13" t="s">
        <v>172</v>
      </c>
      <c r="B75" s="14" t="s">
        <v>173</v>
      </c>
      <c r="C75" s="14" t="s">
        <v>154</v>
      </c>
      <c r="D75" s="8">
        <v>45.65</v>
      </c>
      <c r="E75" s="8">
        <v>13.76</v>
      </c>
      <c r="F75" s="3">
        <v>1939</v>
      </c>
      <c r="G75" s="3">
        <v>2005</v>
      </c>
      <c r="H75" s="5">
        <v>67</v>
      </c>
      <c r="I75" s="3" t="s">
        <v>16</v>
      </c>
      <c r="J75" s="5">
        <v>0</v>
      </c>
      <c r="K75" s="3" t="s">
        <v>261</v>
      </c>
      <c r="L75" s="3" t="s">
        <v>174</v>
      </c>
      <c r="M75" s="12" t="s">
        <v>23</v>
      </c>
      <c r="N75" s="7" t="s">
        <v>175</v>
      </c>
    </row>
    <row r="76" spans="1:22" x14ac:dyDescent="0.35">
      <c r="A76" s="13" t="s">
        <v>172</v>
      </c>
      <c r="B76" s="14" t="s">
        <v>176</v>
      </c>
      <c r="C76" s="14" t="s">
        <v>154</v>
      </c>
      <c r="D76" s="8">
        <v>45.3</v>
      </c>
      <c r="E76" s="8">
        <v>12.510999999999999</v>
      </c>
      <c r="F76" s="3">
        <v>1974</v>
      </c>
      <c r="G76" s="3">
        <v>2005</v>
      </c>
      <c r="H76" s="5">
        <v>27.2</v>
      </c>
      <c r="I76" s="3" t="s">
        <v>739</v>
      </c>
      <c r="J76" s="5">
        <v>4.8</v>
      </c>
      <c r="K76" s="3" t="s">
        <v>261</v>
      </c>
      <c r="L76" s="3" t="s">
        <v>174</v>
      </c>
      <c r="M76" s="12" t="s">
        <v>23</v>
      </c>
      <c r="N76" s="7" t="s">
        <v>175</v>
      </c>
    </row>
    <row r="77" spans="1:22" x14ac:dyDescent="0.35">
      <c r="A77" s="13" t="s">
        <v>172</v>
      </c>
      <c r="B77" s="14" t="s">
        <v>163</v>
      </c>
      <c r="C77" s="14" t="s">
        <v>154</v>
      </c>
      <c r="D77" s="8">
        <v>45.42</v>
      </c>
      <c r="E77" s="8">
        <v>12.42</v>
      </c>
      <c r="F77" s="3">
        <v>1968</v>
      </c>
      <c r="G77" s="3">
        <v>2005</v>
      </c>
      <c r="H77" s="5">
        <v>36.5</v>
      </c>
      <c r="I77" s="3" t="s">
        <v>739</v>
      </c>
      <c r="J77" s="5">
        <v>1.48</v>
      </c>
      <c r="K77" s="3" t="s">
        <v>261</v>
      </c>
      <c r="L77" s="3" t="s">
        <v>174</v>
      </c>
      <c r="M77" s="12" t="s">
        <v>23</v>
      </c>
      <c r="N77" s="7" t="s">
        <v>175</v>
      </c>
    </row>
    <row r="78" spans="1:22" x14ac:dyDescent="0.35">
      <c r="A78" s="13" t="s">
        <v>172</v>
      </c>
      <c r="B78" s="14" t="s">
        <v>159</v>
      </c>
      <c r="C78" s="14" t="s">
        <v>154</v>
      </c>
      <c r="D78" s="8">
        <v>45.43</v>
      </c>
      <c r="E78" s="8">
        <v>12.33</v>
      </c>
      <c r="F78" s="3">
        <v>1940</v>
      </c>
      <c r="G78" s="3">
        <v>2005</v>
      </c>
      <c r="H78" s="5">
        <v>64.5</v>
      </c>
      <c r="I78" s="3" t="s">
        <v>739</v>
      </c>
      <c r="J78" s="5">
        <v>1.51</v>
      </c>
      <c r="K78" s="3" t="s">
        <v>261</v>
      </c>
      <c r="L78" s="3" t="s">
        <v>174</v>
      </c>
      <c r="M78" s="12" t="s">
        <v>23</v>
      </c>
      <c r="N78" s="7" t="s">
        <v>175</v>
      </c>
    </row>
    <row r="79" spans="1:22" x14ac:dyDescent="0.35">
      <c r="A79" s="13" t="s">
        <v>172</v>
      </c>
      <c r="B79" s="14" t="s">
        <v>177</v>
      </c>
      <c r="C79" s="14" t="s">
        <v>94</v>
      </c>
      <c r="D79" s="8">
        <v>42.52</v>
      </c>
      <c r="E79" s="8">
        <v>3.1</v>
      </c>
      <c r="F79" s="3">
        <v>1983</v>
      </c>
      <c r="G79" s="3">
        <v>1997</v>
      </c>
      <c r="H79" s="5">
        <v>13.7</v>
      </c>
      <c r="I79" s="3" t="s">
        <v>739</v>
      </c>
      <c r="J79" s="5">
        <v>1.06</v>
      </c>
      <c r="K79" s="3" t="s">
        <v>261</v>
      </c>
      <c r="L79" s="3" t="s">
        <v>174</v>
      </c>
      <c r="M79" s="12" t="s">
        <v>23</v>
      </c>
      <c r="N79" s="7" t="s">
        <v>175</v>
      </c>
    </row>
    <row r="80" spans="1:22" x14ac:dyDescent="0.35">
      <c r="A80" s="13" t="s">
        <v>172</v>
      </c>
      <c r="B80" s="14" t="s">
        <v>178</v>
      </c>
      <c r="C80" s="14" t="s">
        <v>94</v>
      </c>
      <c r="D80" s="8">
        <v>43.4</v>
      </c>
      <c r="E80" s="8">
        <v>3.69</v>
      </c>
      <c r="F80" s="3">
        <v>1986</v>
      </c>
      <c r="G80" s="3">
        <v>1999</v>
      </c>
      <c r="H80" s="5">
        <v>13.6</v>
      </c>
      <c r="I80" s="3" t="s">
        <v>739</v>
      </c>
      <c r="J80" s="5">
        <v>0.35</v>
      </c>
      <c r="K80" s="3" t="s">
        <v>261</v>
      </c>
      <c r="L80" s="3" t="s">
        <v>174</v>
      </c>
      <c r="M80" s="12" t="s">
        <v>23</v>
      </c>
      <c r="N80" s="7" t="s">
        <v>175</v>
      </c>
    </row>
    <row r="81" spans="1:14" x14ac:dyDescent="0.35">
      <c r="A81" s="13" t="s">
        <v>179</v>
      </c>
      <c r="B81" s="14" t="s">
        <v>180</v>
      </c>
      <c r="C81" s="14" t="s">
        <v>94</v>
      </c>
      <c r="D81" s="8">
        <v>43.36</v>
      </c>
      <c r="E81" s="8">
        <v>5.0999999999999996</v>
      </c>
      <c r="F81" s="3">
        <v>1979</v>
      </c>
      <c r="G81" s="3">
        <v>1995</v>
      </c>
      <c r="H81" s="5">
        <v>14</v>
      </c>
      <c r="I81" s="3" t="s">
        <v>739</v>
      </c>
      <c r="J81" s="5">
        <v>3</v>
      </c>
      <c r="K81" s="3" t="s">
        <v>261</v>
      </c>
      <c r="L81" s="3" t="s">
        <v>174</v>
      </c>
      <c r="M81" s="12" t="s">
        <v>23</v>
      </c>
      <c r="N81" s="7" t="s">
        <v>181</v>
      </c>
    </row>
    <row r="82" spans="1:14" x14ac:dyDescent="0.35">
      <c r="A82" s="18" t="s">
        <v>182</v>
      </c>
      <c r="B82" s="11" t="s">
        <v>183</v>
      </c>
      <c r="C82" s="11" t="s">
        <v>53</v>
      </c>
      <c r="D82" s="5">
        <v>49.911884999999998</v>
      </c>
      <c r="E82" s="5">
        <v>-6.3007749999999998</v>
      </c>
      <c r="F82" s="3">
        <v>1987</v>
      </c>
      <c r="G82" s="3">
        <v>1989</v>
      </c>
      <c r="H82" s="5">
        <f t="shared" si="0"/>
        <v>3</v>
      </c>
      <c r="I82" s="3" t="s">
        <v>16</v>
      </c>
      <c r="J82" s="5">
        <v>0</v>
      </c>
      <c r="K82" s="3" t="s">
        <v>741</v>
      </c>
      <c r="L82" s="3" t="s">
        <v>10</v>
      </c>
      <c r="M82" s="12" t="s">
        <v>23</v>
      </c>
      <c r="N82" s="6" t="s">
        <v>184</v>
      </c>
    </row>
    <row r="83" spans="1:14" x14ac:dyDescent="0.35">
      <c r="A83" s="18" t="s">
        <v>182</v>
      </c>
      <c r="B83" s="11" t="s">
        <v>185</v>
      </c>
      <c r="C83" s="11" t="s">
        <v>53</v>
      </c>
      <c r="D83" s="5">
        <v>50.371918999999998</v>
      </c>
      <c r="E83" s="5">
        <v>-4.1843519999999996</v>
      </c>
      <c r="F83" s="3">
        <v>1961</v>
      </c>
      <c r="G83" s="3">
        <v>1990</v>
      </c>
      <c r="H83" s="5">
        <f t="shared" si="0"/>
        <v>29</v>
      </c>
      <c r="I83" s="3">
        <v>1987</v>
      </c>
      <c r="J83" s="5">
        <v>1</v>
      </c>
      <c r="K83" s="3" t="s">
        <v>741</v>
      </c>
      <c r="L83" s="3" t="s">
        <v>10</v>
      </c>
      <c r="M83" s="12" t="s">
        <v>23</v>
      </c>
    </row>
    <row r="84" spans="1:14" x14ac:dyDescent="0.35">
      <c r="A84" s="18" t="s">
        <v>182</v>
      </c>
      <c r="B84" s="11" t="s">
        <v>186</v>
      </c>
      <c r="C84" s="11" t="s">
        <v>53</v>
      </c>
      <c r="D84" s="5">
        <v>50.599704000000003</v>
      </c>
      <c r="E84" s="5">
        <v>-2.44767</v>
      </c>
      <c r="F84" s="3">
        <v>1926</v>
      </c>
      <c r="G84" s="3">
        <v>2006</v>
      </c>
      <c r="H84" s="5">
        <f t="shared" si="0"/>
        <v>81</v>
      </c>
      <c r="I84" s="3" t="s">
        <v>16</v>
      </c>
      <c r="J84" s="5">
        <v>0</v>
      </c>
      <c r="K84" s="3" t="s">
        <v>741</v>
      </c>
      <c r="L84" s="3" t="s">
        <v>10</v>
      </c>
      <c r="M84" s="12" t="s">
        <v>23</v>
      </c>
    </row>
    <row r="85" spans="1:14" x14ac:dyDescent="0.35">
      <c r="A85" s="18" t="s">
        <v>182</v>
      </c>
      <c r="B85" s="11" t="s">
        <v>187</v>
      </c>
      <c r="C85" s="11" t="s">
        <v>53</v>
      </c>
      <c r="D85" s="5">
        <v>50.895299999999999</v>
      </c>
      <c r="E85" s="5">
        <v>-1.3914409999999999</v>
      </c>
      <c r="F85" s="3">
        <v>1935</v>
      </c>
      <c r="G85" s="3">
        <v>1989</v>
      </c>
      <c r="H85" s="5">
        <f t="shared" si="0"/>
        <v>37</v>
      </c>
      <c r="I85" s="3" t="s">
        <v>188</v>
      </c>
      <c r="J85" s="5">
        <f>16+2</f>
        <v>18</v>
      </c>
      <c r="K85" s="3" t="s">
        <v>261</v>
      </c>
      <c r="L85" s="3" t="s">
        <v>10</v>
      </c>
      <c r="M85" s="12" t="s">
        <v>23</v>
      </c>
    </row>
    <row r="86" spans="1:14" x14ac:dyDescent="0.35">
      <c r="A86" s="18" t="s">
        <v>182</v>
      </c>
      <c r="B86" s="11" t="s">
        <v>189</v>
      </c>
      <c r="C86" s="11" t="s">
        <v>53</v>
      </c>
      <c r="D86" s="5">
        <v>50.800559999999997</v>
      </c>
      <c r="E86" s="5">
        <v>-1.1116109999999999</v>
      </c>
      <c r="F86" s="3">
        <v>1961</v>
      </c>
      <c r="G86" s="3">
        <v>1990</v>
      </c>
      <c r="H86" s="5">
        <f t="shared" si="0"/>
        <v>30</v>
      </c>
      <c r="I86" s="3" t="s">
        <v>16</v>
      </c>
      <c r="J86" s="5">
        <v>0</v>
      </c>
      <c r="K86" s="3" t="s">
        <v>741</v>
      </c>
      <c r="L86" s="3" t="s">
        <v>10</v>
      </c>
      <c r="M86" s="12" t="s">
        <v>23</v>
      </c>
    </row>
    <row r="87" spans="1:14" x14ac:dyDescent="0.35">
      <c r="A87" s="4" t="s">
        <v>190</v>
      </c>
      <c r="B87" s="3" t="s">
        <v>191</v>
      </c>
      <c r="C87" s="3" t="s">
        <v>94</v>
      </c>
      <c r="D87" s="5">
        <v>-38.714312999999997</v>
      </c>
      <c r="E87" s="5">
        <v>77.531163000000006</v>
      </c>
      <c r="F87" s="3">
        <v>1874</v>
      </c>
      <c r="G87" s="3">
        <v>1874</v>
      </c>
      <c r="H87" s="5">
        <f t="shared" si="0"/>
        <v>1</v>
      </c>
      <c r="I87" s="11" t="s">
        <v>16</v>
      </c>
      <c r="J87" s="5">
        <v>0</v>
      </c>
      <c r="K87" s="3" t="s">
        <v>741</v>
      </c>
      <c r="L87" s="3" t="s">
        <v>10</v>
      </c>
      <c r="M87" s="3" t="s">
        <v>137</v>
      </c>
      <c r="N87" s="6" t="s">
        <v>192</v>
      </c>
    </row>
    <row r="88" spans="1:14" x14ac:dyDescent="0.35">
      <c r="A88" s="4" t="s">
        <v>193</v>
      </c>
      <c r="B88" s="3" t="s">
        <v>194</v>
      </c>
      <c r="C88" s="3" t="s">
        <v>111</v>
      </c>
      <c r="D88" s="5">
        <v>-51.534190000000002</v>
      </c>
      <c r="E88" s="5">
        <v>-58.121963999999998</v>
      </c>
      <c r="F88" s="3">
        <v>1842</v>
      </c>
      <c r="G88" s="3">
        <v>1842</v>
      </c>
      <c r="H88" s="5">
        <f t="shared" si="0"/>
        <v>0.60301163586584527</v>
      </c>
      <c r="I88" s="11" t="s">
        <v>195</v>
      </c>
      <c r="J88" s="5">
        <f>((31+28+31+30+9+16)/365.25)</f>
        <v>0.39698836413415467</v>
      </c>
      <c r="K88" s="3" t="s">
        <v>741</v>
      </c>
      <c r="L88" s="3" t="s">
        <v>10</v>
      </c>
      <c r="M88" s="3" t="s">
        <v>137</v>
      </c>
      <c r="N88" s="6" t="s">
        <v>196</v>
      </c>
    </row>
    <row r="89" spans="1:14" x14ac:dyDescent="0.35">
      <c r="A89" s="4" t="s">
        <v>197</v>
      </c>
      <c r="B89" s="3" t="s">
        <v>198</v>
      </c>
      <c r="C89" s="3" t="s">
        <v>71</v>
      </c>
      <c r="D89" s="5">
        <v>-54.499370999999996</v>
      </c>
      <c r="E89" s="5">
        <v>158.94069300000001</v>
      </c>
      <c r="F89" s="3">
        <v>1912</v>
      </c>
      <c r="G89" s="3">
        <v>1913</v>
      </c>
      <c r="H89" s="5">
        <f t="shared" si="0"/>
        <v>1.375</v>
      </c>
      <c r="I89" s="11" t="s">
        <v>199</v>
      </c>
      <c r="J89" s="5">
        <f>5/8</f>
        <v>0.625</v>
      </c>
      <c r="K89" s="3" t="s">
        <v>261</v>
      </c>
      <c r="L89" s="3" t="s">
        <v>32</v>
      </c>
      <c r="M89" s="3" t="s">
        <v>32</v>
      </c>
      <c r="N89" s="7" t="s">
        <v>200</v>
      </c>
    </row>
    <row r="90" spans="1:14" x14ac:dyDescent="0.35">
      <c r="A90" s="4" t="s">
        <v>201</v>
      </c>
      <c r="B90" s="3" t="s">
        <v>202</v>
      </c>
      <c r="C90" s="3" t="s">
        <v>203</v>
      </c>
      <c r="D90" s="5">
        <v>36.533127999999998</v>
      </c>
      <c r="E90" s="5">
        <v>-6.308541</v>
      </c>
      <c r="F90" s="3">
        <v>1880</v>
      </c>
      <c r="G90" s="3">
        <v>1924</v>
      </c>
      <c r="H90" s="5">
        <f t="shared" si="0"/>
        <v>45</v>
      </c>
      <c r="I90" s="3" t="s">
        <v>16</v>
      </c>
      <c r="J90" s="5">
        <v>0</v>
      </c>
      <c r="K90" s="3" t="s">
        <v>741</v>
      </c>
      <c r="L90" s="3" t="s">
        <v>10</v>
      </c>
      <c r="M90" s="3" t="s">
        <v>204</v>
      </c>
      <c r="N90" s="6" t="s">
        <v>205</v>
      </c>
    </row>
    <row r="91" spans="1:14" x14ac:dyDescent="0.35">
      <c r="A91" s="4" t="s">
        <v>206</v>
      </c>
      <c r="B91" s="3" t="s">
        <v>207</v>
      </c>
      <c r="C91" s="3" t="s">
        <v>111</v>
      </c>
      <c r="D91" s="5">
        <v>-7.8944989999999997</v>
      </c>
      <c r="E91" s="5">
        <v>-14.382395000000001</v>
      </c>
      <c r="F91" s="3">
        <v>1955</v>
      </c>
      <c r="G91" s="3">
        <v>1955</v>
      </c>
      <c r="H91" s="5">
        <f t="shared" si="0"/>
        <v>8.0082135523613984E-2</v>
      </c>
      <c r="I91" s="11" t="s">
        <v>208</v>
      </c>
      <c r="J91" s="5">
        <f>((31+22+8+30+31+30+31+31+30+31+30+31)/365.25)</f>
        <v>0.91991786447638602</v>
      </c>
      <c r="K91" s="3" t="s">
        <v>741</v>
      </c>
      <c r="L91" s="3" t="s">
        <v>10</v>
      </c>
      <c r="M91" s="3" t="s">
        <v>23</v>
      </c>
      <c r="N91" s="6" t="s">
        <v>209</v>
      </c>
    </row>
    <row r="92" spans="1:14" x14ac:dyDescent="0.35">
      <c r="A92" s="4" t="s">
        <v>210</v>
      </c>
      <c r="B92" s="3" t="s">
        <v>211</v>
      </c>
      <c r="C92" s="3" t="s">
        <v>94</v>
      </c>
      <c r="D92" s="5">
        <v>43.693210000000001</v>
      </c>
      <c r="E92" s="5">
        <v>7.2851990000000004</v>
      </c>
      <c r="F92" s="3">
        <v>1979</v>
      </c>
      <c r="G92" s="3">
        <v>1979</v>
      </c>
      <c r="H92" s="5">
        <f>(1+(G92-F92))-J92</f>
        <v>2.739726027397249E-3</v>
      </c>
      <c r="I92" s="11" t="s">
        <v>212</v>
      </c>
      <c r="J92" s="5">
        <f>364/365</f>
        <v>0.99726027397260275</v>
      </c>
      <c r="K92" s="3" t="s">
        <v>261</v>
      </c>
      <c r="L92" s="3" t="s">
        <v>174</v>
      </c>
      <c r="M92" s="3" t="s">
        <v>213</v>
      </c>
      <c r="N92" s="7" t="s">
        <v>214</v>
      </c>
    </row>
    <row r="93" spans="1:14" x14ac:dyDescent="0.35">
      <c r="A93" s="4" t="s">
        <v>210</v>
      </c>
      <c r="B93" s="3" t="s">
        <v>215</v>
      </c>
      <c r="C93" s="3" t="s">
        <v>94</v>
      </c>
      <c r="D93" s="5">
        <v>43.703366000000003</v>
      </c>
      <c r="E93" s="5">
        <v>7.312125</v>
      </c>
      <c r="F93" s="3">
        <v>1979</v>
      </c>
      <c r="G93" s="3">
        <v>1979</v>
      </c>
      <c r="H93" s="5">
        <f>(1+(G93-F93))-J93</f>
        <v>2.739726027397249E-3</v>
      </c>
      <c r="I93" s="11" t="s">
        <v>212</v>
      </c>
      <c r="J93" s="5">
        <f>364/365</f>
        <v>0.99726027397260275</v>
      </c>
      <c r="K93" s="3" t="s">
        <v>261</v>
      </c>
      <c r="L93" s="3" t="s">
        <v>174</v>
      </c>
      <c r="M93" s="3" t="s">
        <v>213</v>
      </c>
      <c r="N93" s="7" t="s">
        <v>214</v>
      </c>
    </row>
    <row r="94" spans="1:14" x14ac:dyDescent="0.35">
      <c r="A94" s="4" t="s">
        <v>216</v>
      </c>
      <c r="B94" s="3" t="s">
        <v>217</v>
      </c>
      <c r="C94" s="3" t="s">
        <v>203</v>
      </c>
      <c r="D94" s="5">
        <v>28.472135000000002</v>
      </c>
      <c r="E94" s="5">
        <v>-16.24109</v>
      </c>
      <c r="F94" s="3">
        <v>1927</v>
      </c>
      <c r="G94" s="3">
        <v>1956</v>
      </c>
      <c r="H94" s="5">
        <f t="shared" si="0"/>
        <v>30</v>
      </c>
      <c r="I94" s="3" t="s">
        <v>16</v>
      </c>
      <c r="J94" s="5">
        <v>0</v>
      </c>
      <c r="K94" s="3" t="s">
        <v>261</v>
      </c>
      <c r="L94" s="3" t="s">
        <v>10</v>
      </c>
      <c r="M94" s="3" t="s">
        <v>23</v>
      </c>
      <c r="N94" s="6" t="s">
        <v>218</v>
      </c>
    </row>
    <row r="95" spans="1:14" x14ac:dyDescent="0.35">
      <c r="A95" s="4" t="s">
        <v>216</v>
      </c>
      <c r="B95" s="3" t="s">
        <v>219</v>
      </c>
      <c r="C95" s="3" t="s">
        <v>203</v>
      </c>
      <c r="D95" s="5">
        <v>28.477979000000001</v>
      </c>
      <c r="E95" s="5">
        <v>-16.240660999999999</v>
      </c>
      <c r="F95" s="3">
        <v>1958</v>
      </c>
      <c r="G95" s="3">
        <v>1990</v>
      </c>
      <c r="H95" s="5">
        <f t="shared" si="0"/>
        <v>32</v>
      </c>
      <c r="I95" s="3">
        <v>1991</v>
      </c>
      <c r="J95" s="5">
        <v>1</v>
      </c>
      <c r="K95" s="3" t="s">
        <v>261</v>
      </c>
      <c r="L95" s="3" t="s">
        <v>10</v>
      </c>
      <c r="M95" s="3" t="s">
        <v>23</v>
      </c>
      <c r="N95" s="6" t="s">
        <v>218</v>
      </c>
    </row>
    <row r="96" spans="1:14" x14ac:dyDescent="0.35">
      <c r="A96" s="4" t="s">
        <v>216</v>
      </c>
      <c r="B96" s="3" t="s">
        <v>220</v>
      </c>
      <c r="C96" s="3" t="s">
        <v>203</v>
      </c>
      <c r="D96" s="5">
        <v>28.472135000000002</v>
      </c>
      <c r="E96" s="5">
        <v>-16.24109</v>
      </c>
      <c r="F96" s="3">
        <v>1955</v>
      </c>
      <c r="G96" s="3">
        <v>1957</v>
      </c>
      <c r="H96" s="5">
        <f t="shared" si="0"/>
        <v>3</v>
      </c>
      <c r="I96" s="3" t="s">
        <v>16</v>
      </c>
      <c r="J96" s="5">
        <v>0</v>
      </c>
      <c r="K96" s="3" t="s">
        <v>261</v>
      </c>
      <c r="L96" s="3" t="s">
        <v>10</v>
      </c>
      <c r="M96" s="3" t="s">
        <v>23</v>
      </c>
      <c r="N96" s="6" t="s">
        <v>218</v>
      </c>
    </row>
    <row r="97" spans="1:14" ht="16.5" customHeight="1" x14ac:dyDescent="0.35">
      <c r="A97" s="19" t="s">
        <v>221</v>
      </c>
      <c r="B97" s="20" t="s">
        <v>222</v>
      </c>
      <c r="C97" s="20" t="s">
        <v>223</v>
      </c>
      <c r="D97" s="5">
        <v>41.186017999999997</v>
      </c>
      <c r="E97" s="5">
        <v>-8.7034339999999997</v>
      </c>
      <c r="F97" s="3">
        <v>1884</v>
      </c>
      <c r="G97" s="3">
        <v>2004</v>
      </c>
      <c r="H97" s="5">
        <f t="shared" si="0"/>
        <v>87</v>
      </c>
      <c r="I97" s="11" t="s">
        <v>224</v>
      </c>
      <c r="J97" s="5">
        <v>34</v>
      </c>
      <c r="K97" s="3" t="s">
        <v>261</v>
      </c>
      <c r="L97" s="3" t="s">
        <v>225</v>
      </c>
      <c r="M97" s="3" t="s">
        <v>23</v>
      </c>
      <c r="N97" s="21" t="s">
        <v>226</v>
      </c>
    </row>
    <row r="98" spans="1:14" ht="16.5" customHeight="1" x14ac:dyDescent="0.35">
      <c r="A98" s="19" t="s">
        <v>227</v>
      </c>
      <c r="B98" s="20" t="s">
        <v>228</v>
      </c>
      <c r="C98" s="20" t="s">
        <v>94</v>
      </c>
      <c r="D98" s="5">
        <v>46.155740000000002</v>
      </c>
      <c r="E98" s="5">
        <v>-1.1535569999999999</v>
      </c>
      <c r="F98" s="3">
        <v>1824</v>
      </c>
      <c r="G98" s="3">
        <v>1892</v>
      </c>
      <c r="H98" s="5">
        <f t="shared" si="0"/>
        <v>30</v>
      </c>
      <c r="I98" s="11" t="s">
        <v>229</v>
      </c>
      <c r="J98" s="5">
        <v>39</v>
      </c>
      <c r="K98" s="3" t="s">
        <v>742</v>
      </c>
      <c r="L98" s="3" t="s">
        <v>10</v>
      </c>
      <c r="M98" s="3" t="s">
        <v>23</v>
      </c>
      <c r="N98" s="7" t="s">
        <v>230</v>
      </c>
    </row>
    <row r="99" spans="1:14" ht="16.5" customHeight="1" x14ac:dyDescent="0.35">
      <c r="A99" s="19" t="s">
        <v>227</v>
      </c>
      <c r="B99" s="20" t="s">
        <v>231</v>
      </c>
      <c r="C99" s="20" t="s">
        <v>94</v>
      </c>
      <c r="D99" s="5">
        <v>46.158031000000001</v>
      </c>
      <c r="E99" s="5">
        <v>-1.2216640000000001</v>
      </c>
      <c r="F99" s="3">
        <v>1890</v>
      </c>
      <c r="G99" s="3">
        <v>1997</v>
      </c>
      <c r="H99" s="5">
        <f t="shared" si="0"/>
        <v>24</v>
      </c>
      <c r="I99" s="11" t="s">
        <v>232</v>
      </c>
      <c r="J99" s="5">
        <f>48+22+14</f>
        <v>84</v>
      </c>
      <c r="K99" s="3" t="s">
        <v>742</v>
      </c>
      <c r="L99" s="3" t="s">
        <v>10</v>
      </c>
      <c r="M99" s="3" t="s">
        <v>23</v>
      </c>
      <c r="N99" s="7" t="s">
        <v>230</v>
      </c>
    </row>
    <row r="100" spans="1:14" ht="16.5" customHeight="1" x14ac:dyDescent="0.35">
      <c r="A100" s="19" t="s">
        <v>227</v>
      </c>
      <c r="B100" s="20" t="s">
        <v>233</v>
      </c>
      <c r="C100" s="20" t="s">
        <v>94</v>
      </c>
      <c r="D100" s="5">
        <v>46.007249999999999</v>
      </c>
      <c r="E100" s="5">
        <v>-1.174269</v>
      </c>
      <c r="F100" s="3">
        <v>1824</v>
      </c>
      <c r="G100" s="3">
        <v>1974</v>
      </c>
      <c r="H100" s="5">
        <f t="shared" si="0"/>
        <v>3</v>
      </c>
      <c r="I100" s="11" t="s">
        <v>234</v>
      </c>
      <c r="J100" s="5">
        <f>148</f>
        <v>148</v>
      </c>
      <c r="K100" s="3" t="s">
        <v>742</v>
      </c>
      <c r="L100" s="3" t="s">
        <v>10</v>
      </c>
      <c r="M100" s="3" t="s">
        <v>23</v>
      </c>
      <c r="N100" s="7" t="s">
        <v>230</v>
      </c>
    </row>
    <row r="101" spans="1:14" ht="16.5" customHeight="1" x14ac:dyDescent="0.35">
      <c r="A101" s="19" t="s">
        <v>227</v>
      </c>
      <c r="B101" s="20" t="s">
        <v>235</v>
      </c>
      <c r="C101" s="20" t="s">
        <v>94</v>
      </c>
      <c r="D101" s="5">
        <v>46.003768000000001</v>
      </c>
      <c r="E101" s="5">
        <v>-1.142781</v>
      </c>
      <c r="F101" s="3">
        <v>1859</v>
      </c>
      <c r="G101" s="3">
        <v>1873</v>
      </c>
      <c r="H101" s="5">
        <f t="shared" si="0"/>
        <v>15</v>
      </c>
      <c r="I101" s="3" t="s">
        <v>16</v>
      </c>
      <c r="J101" s="5">
        <v>0</v>
      </c>
      <c r="K101" s="3" t="s">
        <v>741</v>
      </c>
      <c r="L101" s="3" t="s">
        <v>10</v>
      </c>
      <c r="M101" s="3" t="s">
        <v>23</v>
      </c>
      <c r="N101" s="7" t="s">
        <v>230</v>
      </c>
    </row>
    <row r="102" spans="1:14" ht="16.5" customHeight="1" x14ac:dyDescent="0.35">
      <c r="A102" s="19" t="s">
        <v>227</v>
      </c>
      <c r="B102" s="20" t="s">
        <v>236</v>
      </c>
      <c r="C102" s="20" t="s">
        <v>94</v>
      </c>
      <c r="D102" s="5">
        <v>45.999690999999999</v>
      </c>
      <c r="E102" s="5">
        <v>-1.214251</v>
      </c>
      <c r="F102" s="3">
        <v>1873</v>
      </c>
      <c r="G102" s="3">
        <v>1909</v>
      </c>
      <c r="H102" s="5">
        <f t="shared" si="0"/>
        <v>37</v>
      </c>
      <c r="I102" s="3" t="s">
        <v>16</v>
      </c>
      <c r="J102" s="5">
        <v>0</v>
      </c>
      <c r="K102" s="3" t="s">
        <v>741</v>
      </c>
      <c r="L102" s="3" t="s">
        <v>10</v>
      </c>
      <c r="M102" s="3" t="s">
        <v>23</v>
      </c>
      <c r="N102" s="7" t="s">
        <v>230</v>
      </c>
    </row>
    <row r="103" spans="1:14" ht="16.5" customHeight="1" x14ac:dyDescent="0.35">
      <c r="A103" s="19" t="s">
        <v>237</v>
      </c>
      <c r="B103" s="20" t="s">
        <v>238</v>
      </c>
      <c r="C103" s="20" t="s">
        <v>239</v>
      </c>
      <c r="D103" s="5">
        <v>53.890380999999998</v>
      </c>
      <c r="E103" s="5">
        <v>8.6841790000000003</v>
      </c>
      <c r="F103" s="3">
        <v>1899</v>
      </c>
      <c r="G103" s="3">
        <v>1995</v>
      </c>
      <c r="H103" s="5">
        <f t="shared" si="0"/>
        <v>97</v>
      </c>
      <c r="I103" s="3" t="s">
        <v>16</v>
      </c>
      <c r="J103" s="5">
        <v>0</v>
      </c>
      <c r="K103" s="3" t="s">
        <v>261</v>
      </c>
      <c r="L103" s="3" t="s">
        <v>10</v>
      </c>
      <c r="M103" s="3" t="s">
        <v>23</v>
      </c>
      <c r="N103" s="7" t="s">
        <v>240</v>
      </c>
    </row>
    <row r="104" spans="1:14" ht="16.5" customHeight="1" x14ac:dyDescent="0.35">
      <c r="A104" s="19" t="s">
        <v>237</v>
      </c>
      <c r="B104" s="20" t="s">
        <v>238</v>
      </c>
      <c r="C104" s="20" t="s">
        <v>239</v>
      </c>
      <c r="D104" s="5">
        <v>53.890380999999998</v>
      </c>
      <c r="E104" s="5">
        <v>8.6841790000000003</v>
      </c>
      <c r="F104" s="3">
        <v>1843</v>
      </c>
      <c r="G104" s="3">
        <v>1898</v>
      </c>
      <c r="H104" s="5">
        <f t="shared" si="0"/>
        <v>56</v>
      </c>
      <c r="I104" s="3" t="s">
        <v>16</v>
      </c>
      <c r="J104" s="5">
        <v>0</v>
      </c>
      <c r="K104" s="3" t="s">
        <v>741</v>
      </c>
      <c r="L104" s="3" t="s">
        <v>10</v>
      </c>
      <c r="M104" s="3" t="s">
        <v>23</v>
      </c>
      <c r="N104" s="7" t="s">
        <v>240</v>
      </c>
    </row>
    <row r="105" spans="1:14" ht="16.5" customHeight="1" x14ac:dyDescent="0.35">
      <c r="A105" s="19" t="s">
        <v>241</v>
      </c>
      <c r="B105" s="20" t="s">
        <v>242</v>
      </c>
      <c r="C105" s="20" t="s">
        <v>71</v>
      </c>
      <c r="D105" s="5">
        <v>-29.433214</v>
      </c>
      <c r="E105" s="5">
        <v>153.36021400000001</v>
      </c>
      <c r="F105" s="3">
        <v>1984</v>
      </c>
      <c r="G105" s="3">
        <v>2013</v>
      </c>
      <c r="H105" s="5">
        <f t="shared" si="0"/>
        <v>30</v>
      </c>
      <c r="I105" s="3" t="s">
        <v>16</v>
      </c>
      <c r="J105" s="5">
        <v>0</v>
      </c>
      <c r="K105" s="3" t="s">
        <v>261</v>
      </c>
      <c r="L105" s="3" t="s">
        <v>32</v>
      </c>
      <c r="M105" s="3" t="s">
        <v>23</v>
      </c>
      <c r="N105" s="6" t="s">
        <v>243</v>
      </c>
    </row>
    <row r="106" spans="1:14" ht="16.5" customHeight="1" x14ac:dyDescent="0.35">
      <c r="A106" s="19" t="s">
        <v>241</v>
      </c>
      <c r="B106" s="20" t="s">
        <v>244</v>
      </c>
      <c r="C106" s="20" t="s">
        <v>71</v>
      </c>
      <c r="D106" s="5">
        <v>-42.884596000000002</v>
      </c>
      <c r="E106" s="5">
        <v>147.33434199999999</v>
      </c>
      <c r="F106" s="3">
        <v>1960</v>
      </c>
      <c r="G106" s="3">
        <v>2013</v>
      </c>
      <c r="H106" s="5">
        <f t="shared" si="0"/>
        <v>54</v>
      </c>
      <c r="I106" s="3" t="s">
        <v>16</v>
      </c>
      <c r="J106" s="5">
        <v>0</v>
      </c>
      <c r="K106" s="3" t="s">
        <v>261</v>
      </c>
      <c r="L106" s="3" t="s">
        <v>32</v>
      </c>
      <c r="M106" s="3" t="s">
        <v>23</v>
      </c>
      <c r="N106" s="6" t="s">
        <v>243</v>
      </c>
    </row>
    <row r="107" spans="1:14" ht="16.5" customHeight="1" x14ac:dyDescent="0.35">
      <c r="A107" s="19" t="s">
        <v>241</v>
      </c>
      <c r="B107" s="20" t="s">
        <v>245</v>
      </c>
      <c r="C107" s="20" t="s">
        <v>71</v>
      </c>
      <c r="D107" s="5">
        <v>-28.869309000000001</v>
      </c>
      <c r="E107" s="5">
        <v>153.55457799999999</v>
      </c>
      <c r="F107" s="3">
        <v>1986</v>
      </c>
      <c r="G107" s="3">
        <v>2013</v>
      </c>
      <c r="H107" s="5">
        <f t="shared" si="0"/>
        <v>28</v>
      </c>
      <c r="I107" s="3" t="s">
        <v>16</v>
      </c>
      <c r="J107" s="5">
        <v>0</v>
      </c>
      <c r="K107" s="3" t="s">
        <v>261</v>
      </c>
      <c r="L107" s="3" t="s">
        <v>32</v>
      </c>
      <c r="M107" s="3" t="s">
        <v>23</v>
      </c>
      <c r="N107" s="6" t="s">
        <v>243</v>
      </c>
    </row>
    <row r="108" spans="1:14" ht="16.5" customHeight="1" x14ac:dyDescent="0.35">
      <c r="A108" s="19" t="s">
        <v>241</v>
      </c>
      <c r="B108" s="20" t="s">
        <v>246</v>
      </c>
      <c r="C108" s="20" t="s">
        <v>71</v>
      </c>
      <c r="D108" s="5">
        <v>-27.380528999999999</v>
      </c>
      <c r="E108" s="5">
        <v>153.15748199999999</v>
      </c>
      <c r="F108" s="3">
        <v>1957</v>
      </c>
      <c r="G108" s="3">
        <v>2013</v>
      </c>
      <c r="H108" s="5">
        <f t="shared" si="0"/>
        <v>57</v>
      </c>
      <c r="I108" s="3" t="s">
        <v>16</v>
      </c>
      <c r="J108" s="5">
        <v>0</v>
      </c>
      <c r="K108" s="3" t="s">
        <v>741</v>
      </c>
      <c r="L108" s="3" t="s">
        <v>32</v>
      </c>
      <c r="M108" s="3" t="s">
        <v>23</v>
      </c>
      <c r="N108" s="6" t="s">
        <v>243</v>
      </c>
    </row>
    <row r="109" spans="1:14" ht="16.5" customHeight="1" x14ac:dyDescent="0.35">
      <c r="A109" s="19" t="s">
        <v>241</v>
      </c>
      <c r="B109" s="20" t="s">
        <v>247</v>
      </c>
      <c r="C109" s="20" t="s">
        <v>71</v>
      </c>
      <c r="D109" s="5">
        <v>-16.921716</v>
      </c>
      <c r="E109" s="5">
        <v>145.78196500000001</v>
      </c>
      <c r="F109" s="3">
        <v>1960</v>
      </c>
      <c r="G109" s="3">
        <v>2013</v>
      </c>
      <c r="H109" s="5">
        <f t="shared" si="0"/>
        <v>45</v>
      </c>
      <c r="I109" s="11" t="s">
        <v>248</v>
      </c>
      <c r="J109" s="5">
        <v>9</v>
      </c>
      <c r="K109" s="3" t="s">
        <v>741</v>
      </c>
      <c r="L109" s="3" t="s">
        <v>32</v>
      </c>
      <c r="M109" s="3" t="s">
        <v>23</v>
      </c>
      <c r="N109" s="6" t="s">
        <v>243</v>
      </c>
    </row>
    <row r="110" spans="1:14" ht="16.5" customHeight="1" x14ac:dyDescent="0.35">
      <c r="A110" s="19" t="s">
        <v>241</v>
      </c>
      <c r="B110" s="20" t="s">
        <v>249</v>
      </c>
      <c r="C110" s="20" t="s">
        <v>130</v>
      </c>
      <c r="D110" s="5">
        <v>-41.746557000000003</v>
      </c>
      <c r="E110" s="5">
        <v>171.59597400000001</v>
      </c>
      <c r="F110" s="3">
        <v>1982</v>
      </c>
      <c r="G110" s="3">
        <v>2013</v>
      </c>
      <c r="H110" s="5">
        <f t="shared" si="0"/>
        <v>32</v>
      </c>
      <c r="I110" s="11" t="s">
        <v>16</v>
      </c>
      <c r="J110" s="5">
        <v>0</v>
      </c>
      <c r="K110" s="3" t="s">
        <v>32</v>
      </c>
      <c r="L110" s="3" t="s">
        <v>32</v>
      </c>
      <c r="M110" s="3" t="s">
        <v>23</v>
      </c>
      <c r="N110" s="6" t="s">
        <v>243</v>
      </c>
    </row>
    <row r="111" spans="1:14" ht="16.5" customHeight="1" x14ac:dyDescent="0.35">
      <c r="A111" s="19" t="s">
        <v>241</v>
      </c>
      <c r="B111" s="20" t="s">
        <v>250</v>
      </c>
      <c r="C111" s="20" t="s">
        <v>130</v>
      </c>
      <c r="D111" s="5">
        <v>-43.609394000000002</v>
      </c>
      <c r="E111" s="5">
        <v>172.71790999999999</v>
      </c>
      <c r="F111" s="3">
        <v>1924</v>
      </c>
      <c r="G111" s="3">
        <v>2013</v>
      </c>
      <c r="H111" s="5">
        <f t="shared" si="0"/>
        <v>90</v>
      </c>
      <c r="I111" s="11" t="s">
        <v>16</v>
      </c>
      <c r="J111" s="5">
        <v>0</v>
      </c>
      <c r="K111" s="3" t="s">
        <v>32</v>
      </c>
      <c r="L111" s="3" t="s">
        <v>32</v>
      </c>
      <c r="M111" s="3" t="s">
        <v>23</v>
      </c>
      <c r="N111" s="6" t="s">
        <v>243</v>
      </c>
    </row>
    <row r="112" spans="1:14" ht="16.5" customHeight="1" x14ac:dyDescent="0.35">
      <c r="A112" s="19" t="s">
        <v>241</v>
      </c>
      <c r="B112" s="20" t="s">
        <v>251</v>
      </c>
      <c r="C112" s="20" t="s">
        <v>252</v>
      </c>
      <c r="D112" s="8">
        <v>38.296666999999999</v>
      </c>
      <c r="E112" s="8">
        <v>141.505278</v>
      </c>
      <c r="F112" s="3">
        <v>1962</v>
      </c>
      <c r="G112" s="3">
        <v>2013</v>
      </c>
      <c r="H112" s="5">
        <f t="shared" si="0"/>
        <v>52</v>
      </c>
      <c r="I112" s="11" t="s">
        <v>16</v>
      </c>
      <c r="J112" s="5">
        <v>0</v>
      </c>
      <c r="K112" s="3" t="s">
        <v>261</v>
      </c>
      <c r="L112" s="3" t="s">
        <v>32</v>
      </c>
      <c r="M112" s="3" t="s">
        <v>23</v>
      </c>
      <c r="N112" s="6" t="s">
        <v>243</v>
      </c>
    </row>
    <row r="113" spans="1:14" ht="16.5" customHeight="1" x14ac:dyDescent="0.35">
      <c r="A113" s="19" t="s">
        <v>241</v>
      </c>
      <c r="B113" s="20" t="s">
        <v>253</v>
      </c>
      <c r="C113" s="20" t="s">
        <v>252</v>
      </c>
      <c r="D113" s="5">
        <v>35.646303000000003</v>
      </c>
      <c r="E113" s="5">
        <v>140.028648</v>
      </c>
      <c r="F113" s="3">
        <v>1964</v>
      </c>
      <c r="G113" s="3">
        <v>2013</v>
      </c>
      <c r="H113" s="5">
        <f t="shared" si="0"/>
        <v>50</v>
      </c>
      <c r="I113" s="11" t="s">
        <v>16</v>
      </c>
      <c r="J113" s="5">
        <v>0</v>
      </c>
      <c r="K113" s="3" t="s">
        <v>261</v>
      </c>
      <c r="L113" s="3" t="s">
        <v>32</v>
      </c>
      <c r="M113" s="3" t="s">
        <v>23</v>
      </c>
      <c r="N113" s="6" t="s">
        <v>243</v>
      </c>
    </row>
    <row r="114" spans="1:14" ht="16.5" customHeight="1" x14ac:dyDescent="0.35">
      <c r="A114" s="19" t="s">
        <v>241</v>
      </c>
      <c r="B114" s="20" t="s">
        <v>254</v>
      </c>
      <c r="C114" s="20" t="s">
        <v>252</v>
      </c>
      <c r="D114" s="5">
        <v>35.456859000000001</v>
      </c>
      <c r="E114" s="5">
        <v>139.637947</v>
      </c>
      <c r="F114" s="3">
        <v>1961</v>
      </c>
      <c r="G114" s="3">
        <v>2013</v>
      </c>
      <c r="H114" s="5">
        <f t="shared" si="0"/>
        <v>53</v>
      </c>
      <c r="I114" s="11" t="s">
        <v>16</v>
      </c>
      <c r="J114" s="5">
        <v>0</v>
      </c>
      <c r="K114" s="3" t="s">
        <v>261</v>
      </c>
      <c r="L114" s="3" t="s">
        <v>32</v>
      </c>
      <c r="M114" s="3" t="s">
        <v>23</v>
      </c>
      <c r="N114" s="6" t="s">
        <v>243</v>
      </c>
    </row>
    <row r="115" spans="1:14" ht="16.5" customHeight="1" x14ac:dyDescent="0.35">
      <c r="A115" s="19" t="s">
        <v>241</v>
      </c>
      <c r="B115" s="20" t="s">
        <v>255</v>
      </c>
      <c r="C115" s="20" t="s">
        <v>31</v>
      </c>
      <c r="D115" s="5">
        <v>47.600962000000003</v>
      </c>
      <c r="E115" s="5">
        <v>-122.337642</v>
      </c>
      <c r="F115" s="3">
        <v>1899</v>
      </c>
      <c r="G115" s="3">
        <v>2013</v>
      </c>
      <c r="H115" s="5">
        <f t="shared" si="0"/>
        <v>113</v>
      </c>
      <c r="I115" s="11" t="s">
        <v>256</v>
      </c>
      <c r="J115" s="5">
        <v>2</v>
      </c>
      <c r="K115" s="3" t="s">
        <v>32</v>
      </c>
      <c r="L115" s="3" t="s">
        <v>32</v>
      </c>
      <c r="M115" s="3" t="s">
        <v>23</v>
      </c>
      <c r="N115" s="6" t="s">
        <v>243</v>
      </c>
    </row>
    <row r="116" spans="1:14" ht="16.5" customHeight="1" x14ac:dyDescent="0.35">
      <c r="A116" s="19" t="s">
        <v>241</v>
      </c>
      <c r="B116" s="20" t="s">
        <v>257</v>
      </c>
      <c r="C116" s="20" t="s">
        <v>84</v>
      </c>
      <c r="D116" s="5">
        <v>8.9181819999999998</v>
      </c>
      <c r="E116" s="5">
        <v>-79.535026999999999</v>
      </c>
      <c r="F116" s="3">
        <v>1909</v>
      </c>
      <c r="G116" s="3">
        <v>2013</v>
      </c>
      <c r="H116" s="5">
        <f t="shared" si="0"/>
        <v>105</v>
      </c>
      <c r="I116" s="11" t="s">
        <v>16</v>
      </c>
      <c r="J116" s="5">
        <v>0</v>
      </c>
      <c r="K116" s="3" t="s">
        <v>741</v>
      </c>
      <c r="L116" s="3" t="s">
        <v>32</v>
      </c>
      <c r="M116" s="3" t="s">
        <v>23</v>
      </c>
      <c r="N116" s="6" t="s">
        <v>243</v>
      </c>
    </row>
    <row r="117" spans="1:14" x14ac:dyDescent="0.35">
      <c r="A117" s="4" t="s">
        <v>258</v>
      </c>
      <c r="B117" s="3" t="s">
        <v>259</v>
      </c>
      <c r="C117" s="3" t="s">
        <v>31</v>
      </c>
      <c r="D117" s="5">
        <v>40.691065000000002</v>
      </c>
      <c r="E117" s="5">
        <v>-74.012047999999993</v>
      </c>
      <c r="F117" s="3">
        <v>1852</v>
      </c>
      <c r="G117" s="3">
        <v>1885</v>
      </c>
      <c r="H117" s="5">
        <f t="shared" si="0"/>
        <v>29</v>
      </c>
      <c r="I117" s="11" t="s">
        <v>260</v>
      </c>
      <c r="J117" s="5">
        <v>5</v>
      </c>
      <c r="K117" s="3" t="s">
        <v>261</v>
      </c>
      <c r="L117" s="3" t="s">
        <v>225</v>
      </c>
      <c r="M117" s="3" t="s">
        <v>23</v>
      </c>
      <c r="N117" s="6" t="s">
        <v>262</v>
      </c>
    </row>
    <row r="118" spans="1:14" x14ac:dyDescent="0.35">
      <c r="A118" s="4" t="s">
        <v>258</v>
      </c>
      <c r="B118" s="3" t="s">
        <v>259</v>
      </c>
      <c r="C118" s="3" t="s">
        <v>31</v>
      </c>
      <c r="D118" s="5">
        <v>40.691065000000002</v>
      </c>
      <c r="E118" s="5">
        <v>-74.012047999999993</v>
      </c>
      <c r="F118" s="3">
        <v>1844</v>
      </c>
      <c r="G118" s="3">
        <v>1852</v>
      </c>
      <c r="H118" s="5">
        <f t="shared" si="0"/>
        <v>9</v>
      </c>
      <c r="I118" s="11" t="s">
        <v>16</v>
      </c>
      <c r="J118" s="5">
        <v>0</v>
      </c>
      <c r="K118" s="3" t="s">
        <v>741</v>
      </c>
      <c r="L118" s="3" t="s">
        <v>10</v>
      </c>
      <c r="M118" s="3" t="s">
        <v>137</v>
      </c>
      <c r="N118" s="6" t="s">
        <v>262</v>
      </c>
    </row>
    <row r="119" spans="1:14" x14ac:dyDescent="0.35">
      <c r="A119" s="4" t="s">
        <v>258</v>
      </c>
      <c r="B119" s="3" t="s">
        <v>263</v>
      </c>
      <c r="C119" s="3" t="s">
        <v>31</v>
      </c>
      <c r="D119" s="5">
        <v>40.685864000000002</v>
      </c>
      <c r="E119" s="5">
        <v>-74.009237999999996</v>
      </c>
      <c r="F119" s="3">
        <v>1856</v>
      </c>
      <c r="G119" s="3">
        <v>1862</v>
      </c>
      <c r="H119" s="5">
        <f t="shared" si="0"/>
        <v>7</v>
      </c>
      <c r="I119" s="3" t="s">
        <v>16</v>
      </c>
      <c r="J119" s="5">
        <v>0</v>
      </c>
      <c r="K119" s="3" t="s">
        <v>741</v>
      </c>
      <c r="L119" s="3" t="s">
        <v>10</v>
      </c>
      <c r="M119" s="3" t="s">
        <v>137</v>
      </c>
      <c r="N119" s="6" t="s">
        <v>262</v>
      </c>
    </row>
    <row r="120" spans="1:14" x14ac:dyDescent="0.35">
      <c r="A120" s="4" t="s">
        <v>258</v>
      </c>
      <c r="B120" s="3" t="s">
        <v>264</v>
      </c>
      <c r="C120" s="3" t="s">
        <v>31</v>
      </c>
      <c r="D120" s="5">
        <v>40.466757000000001</v>
      </c>
      <c r="E120" s="5">
        <v>-74.008958000000007</v>
      </c>
      <c r="F120" s="3">
        <v>1873</v>
      </c>
      <c r="G120" s="3">
        <v>1893</v>
      </c>
      <c r="H120" s="5">
        <f t="shared" si="0"/>
        <v>17</v>
      </c>
      <c r="I120" s="11" t="s">
        <v>265</v>
      </c>
      <c r="J120" s="5">
        <f>4</f>
        <v>4</v>
      </c>
      <c r="K120" s="3" t="s">
        <v>261</v>
      </c>
      <c r="L120" s="3" t="s">
        <v>225</v>
      </c>
      <c r="M120" s="3" t="s">
        <v>23</v>
      </c>
      <c r="N120" s="6" t="s">
        <v>262</v>
      </c>
    </row>
    <row r="121" spans="1:14" x14ac:dyDescent="0.35">
      <c r="A121" s="4" t="s">
        <v>258</v>
      </c>
      <c r="B121" s="3" t="s">
        <v>266</v>
      </c>
      <c r="C121" s="3" t="s">
        <v>31</v>
      </c>
      <c r="D121" s="5">
        <v>40.606189000000001</v>
      </c>
      <c r="E121" s="5">
        <v>-74.032483999999997</v>
      </c>
      <c r="F121" s="3">
        <v>1893</v>
      </c>
      <c r="G121" s="3">
        <v>1926</v>
      </c>
      <c r="H121" s="5">
        <f t="shared" si="0"/>
        <v>34</v>
      </c>
      <c r="I121" s="3" t="s">
        <v>16</v>
      </c>
      <c r="J121" s="5">
        <v>0</v>
      </c>
      <c r="K121" s="3" t="s">
        <v>741</v>
      </c>
      <c r="L121" s="3" t="s">
        <v>10</v>
      </c>
      <c r="M121" s="3" t="s">
        <v>137</v>
      </c>
      <c r="N121" s="6" t="s">
        <v>262</v>
      </c>
    </row>
    <row r="122" spans="1:14" x14ac:dyDescent="0.35">
      <c r="A122" s="4" t="s">
        <v>258</v>
      </c>
      <c r="B122" s="3" t="s">
        <v>267</v>
      </c>
      <c r="C122" s="3" t="s">
        <v>31</v>
      </c>
      <c r="D122" s="5">
        <v>40.707070000000002</v>
      </c>
      <c r="E122" s="5">
        <v>-74.018833999999998</v>
      </c>
      <c r="F122" s="3">
        <v>1886</v>
      </c>
      <c r="G122" s="3">
        <v>1920</v>
      </c>
      <c r="H122" s="5">
        <f t="shared" si="0"/>
        <v>35</v>
      </c>
      <c r="I122" s="3" t="s">
        <v>16</v>
      </c>
      <c r="J122" s="5">
        <v>0</v>
      </c>
      <c r="K122" s="3" t="s">
        <v>741</v>
      </c>
      <c r="L122" s="3" t="s">
        <v>10</v>
      </c>
      <c r="M122" s="3" t="s">
        <v>268</v>
      </c>
      <c r="N122" s="6" t="s">
        <v>262</v>
      </c>
    </row>
    <row r="123" spans="1:14" x14ac:dyDescent="0.35">
      <c r="A123" s="4" t="s">
        <v>258</v>
      </c>
      <c r="B123" s="3" t="s">
        <v>269</v>
      </c>
      <c r="C123" s="3" t="s">
        <v>31</v>
      </c>
      <c r="D123" s="5">
        <v>40.700915000000002</v>
      </c>
      <c r="E123" s="5">
        <v>-74.015137999999993</v>
      </c>
      <c r="F123" s="3">
        <v>1920</v>
      </c>
      <c r="G123" s="3">
        <v>1926</v>
      </c>
      <c r="H123" s="5">
        <f t="shared" si="0"/>
        <v>7</v>
      </c>
      <c r="I123" s="3" t="s">
        <v>16</v>
      </c>
      <c r="J123" s="5">
        <v>0</v>
      </c>
      <c r="K123" s="3" t="s">
        <v>741</v>
      </c>
      <c r="L123" s="3" t="s">
        <v>10</v>
      </c>
      <c r="M123" s="3" t="s">
        <v>268</v>
      </c>
      <c r="N123" s="6" t="s">
        <v>262</v>
      </c>
    </row>
    <row r="124" spans="1:14" x14ac:dyDescent="0.35">
      <c r="A124" s="4" t="s">
        <v>270</v>
      </c>
      <c r="B124" s="3" t="s">
        <v>271</v>
      </c>
      <c r="C124" s="3" t="s">
        <v>94</v>
      </c>
      <c r="D124" s="5">
        <v>43.306010999999998</v>
      </c>
      <c r="E124" s="5">
        <v>5.3599690000000004</v>
      </c>
      <c r="F124" s="3">
        <v>1849</v>
      </c>
      <c r="G124" s="3">
        <v>1851</v>
      </c>
      <c r="H124" s="5">
        <f t="shared" si="0"/>
        <v>3</v>
      </c>
      <c r="I124" s="3" t="s">
        <v>16</v>
      </c>
      <c r="J124" s="5">
        <v>0</v>
      </c>
      <c r="K124" s="3" t="s">
        <v>741</v>
      </c>
      <c r="L124" s="3" t="s">
        <v>10</v>
      </c>
      <c r="M124" s="3" t="s">
        <v>23</v>
      </c>
      <c r="N124" s="21" t="s">
        <v>272</v>
      </c>
    </row>
    <row r="125" spans="1:14" x14ac:dyDescent="0.35">
      <c r="A125" s="4" t="s">
        <v>270</v>
      </c>
      <c r="B125" s="22" t="s">
        <v>273</v>
      </c>
      <c r="C125" s="3" t="s">
        <v>94</v>
      </c>
      <c r="D125" s="5">
        <v>43.278744000000003</v>
      </c>
      <c r="E125" s="5">
        <v>5.3538990000000002</v>
      </c>
      <c r="F125" s="3">
        <v>1885</v>
      </c>
      <c r="G125" s="3">
        <v>1988</v>
      </c>
      <c r="H125" s="5">
        <f t="shared" si="0"/>
        <v>100</v>
      </c>
      <c r="I125" s="3" t="s">
        <v>274</v>
      </c>
      <c r="J125" s="5">
        <v>4</v>
      </c>
      <c r="K125" s="3" t="s">
        <v>261</v>
      </c>
      <c r="L125" s="3" t="s">
        <v>174</v>
      </c>
      <c r="M125" s="3" t="s">
        <v>23</v>
      </c>
      <c r="N125" s="21" t="s">
        <v>272</v>
      </c>
    </row>
    <row r="126" spans="1:14" x14ac:dyDescent="0.35">
      <c r="A126" s="4" t="s">
        <v>270</v>
      </c>
      <c r="B126" s="22" t="s">
        <v>273</v>
      </c>
      <c r="C126" s="3" t="s">
        <v>94</v>
      </c>
      <c r="D126" s="5">
        <v>43.278744000000003</v>
      </c>
      <c r="E126" s="5">
        <v>5.3538990000000002</v>
      </c>
      <c r="F126" s="3">
        <v>1885</v>
      </c>
      <c r="G126" s="3">
        <v>1988</v>
      </c>
      <c r="H126" s="5">
        <f t="shared" si="0"/>
        <v>100</v>
      </c>
      <c r="I126" s="3" t="s">
        <v>274</v>
      </c>
      <c r="J126" s="5">
        <v>4</v>
      </c>
      <c r="K126" s="3" t="s">
        <v>741</v>
      </c>
      <c r="L126" s="3" t="s">
        <v>10</v>
      </c>
      <c r="M126" s="3" t="s">
        <v>23</v>
      </c>
      <c r="N126" s="21" t="s">
        <v>272</v>
      </c>
    </row>
    <row r="127" spans="1:14" x14ac:dyDescent="0.35">
      <c r="A127" s="4" t="s">
        <v>275</v>
      </c>
      <c r="B127" s="3" t="s">
        <v>276</v>
      </c>
      <c r="C127" s="3" t="s">
        <v>277</v>
      </c>
      <c r="D127" s="8">
        <v>53.916666999999997</v>
      </c>
      <c r="E127" s="8">
        <v>14.233333</v>
      </c>
      <c r="F127" s="3">
        <v>1811</v>
      </c>
      <c r="G127" s="3">
        <v>2012</v>
      </c>
      <c r="H127" s="5">
        <f t="shared" si="0"/>
        <v>200</v>
      </c>
      <c r="I127" s="3" t="s">
        <v>739</v>
      </c>
      <c r="J127" s="5">
        <v>2</v>
      </c>
      <c r="K127" s="12" t="s">
        <v>278</v>
      </c>
      <c r="L127" s="3" t="s">
        <v>10</v>
      </c>
      <c r="M127" s="3" t="s">
        <v>279</v>
      </c>
      <c r="N127" s="6" t="s">
        <v>280</v>
      </c>
    </row>
    <row r="128" spans="1:14" x14ac:dyDescent="0.35">
      <c r="A128" s="4" t="s">
        <v>275</v>
      </c>
      <c r="B128" s="3" t="s">
        <v>281</v>
      </c>
      <c r="C128" s="3" t="s">
        <v>282</v>
      </c>
      <c r="D128" s="8">
        <v>60.153632999999999</v>
      </c>
      <c r="E128" s="9">
        <v>24.956216999999999</v>
      </c>
      <c r="F128" s="3">
        <v>1857</v>
      </c>
      <c r="G128" s="3">
        <v>2012</v>
      </c>
      <c r="H128" s="5">
        <f t="shared" si="0"/>
        <v>139</v>
      </c>
      <c r="I128" s="3" t="s">
        <v>739</v>
      </c>
      <c r="J128" s="5">
        <v>17</v>
      </c>
      <c r="K128" s="12" t="s">
        <v>278</v>
      </c>
      <c r="L128" s="3" t="s">
        <v>10</v>
      </c>
      <c r="M128" s="3" t="s">
        <v>279</v>
      </c>
      <c r="N128" s="6" t="s">
        <v>280</v>
      </c>
    </row>
    <row r="129" spans="1:14" x14ac:dyDescent="0.35">
      <c r="A129" s="4" t="s">
        <v>275</v>
      </c>
      <c r="B129" s="3" t="s">
        <v>283</v>
      </c>
      <c r="C129" s="3" t="s">
        <v>282</v>
      </c>
      <c r="D129" s="5">
        <v>60.85</v>
      </c>
      <c r="E129" s="5">
        <v>21.183330000000002</v>
      </c>
      <c r="F129" s="3">
        <v>1858</v>
      </c>
      <c r="G129" s="3">
        <v>2012</v>
      </c>
      <c r="H129" s="5">
        <f t="shared" si="0"/>
        <v>154</v>
      </c>
      <c r="I129" s="3" t="s">
        <v>739</v>
      </c>
      <c r="J129" s="5">
        <v>1</v>
      </c>
      <c r="K129" s="12" t="s">
        <v>278</v>
      </c>
      <c r="L129" s="3" t="s">
        <v>10</v>
      </c>
      <c r="M129" s="3" t="s">
        <v>279</v>
      </c>
      <c r="N129" s="6" t="s">
        <v>280</v>
      </c>
    </row>
    <row r="130" spans="1:14" x14ac:dyDescent="0.35">
      <c r="A130" s="4" t="s">
        <v>275</v>
      </c>
      <c r="B130" s="3" t="s">
        <v>284</v>
      </c>
      <c r="C130" s="3" t="s">
        <v>282</v>
      </c>
      <c r="D130" s="8">
        <v>60.6</v>
      </c>
      <c r="E130" s="8">
        <v>21.233332999999998</v>
      </c>
      <c r="F130" s="3">
        <v>1858</v>
      </c>
      <c r="G130" s="3">
        <v>2012</v>
      </c>
      <c r="H130" s="5">
        <f t="shared" si="0"/>
        <v>154</v>
      </c>
      <c r="I130" s="3" t="s">
        <v>739</v>
      </c>
      <c r="J130" s="5">
        <v>1</v>
      </c>
      <c r="K130" s="12" t="s">
        <v>278</v>
      </c>
      <c r="L130" s="3" t="s">
        <v>10</v>
      </c>
      <c r="M130" s="3" t="s">
        <v>279</v>
      </c>
      <c r="N130" s="6" t="s">
        <v>280</v>
      </c>
    </row>
    <row r="131" spans="1:14" x14ac:dyDescent="0.35">
      <c r="A131" s="4" t="s">
        <v>275</v>
      </c>
      <c r="B131" s="3" t="s">
        <v>285</v>
      </c>
      <c r="C131" s="3" t="s">
        <v>282</v>
      </c>
      <c r="D131" s="8">
        <v>59.95</v>
      </c>
      <c r="E131" s="8">
        <v>22.366667</v>
      </c>
      <c r="F131" s="3">
        <v>1858</v>
      </c>
      <c r="G131" s="3">
        <v>2011</v>
      </c>
      <c r="H131" s="5">
        <f t="shared" si="0"/>
        <v>137</v>
      </c>
      <c r="I131" s="3" t="s">
        <v>739</v>
      </c>
      <c r="J131" s="5">
        <v>17</v>
      </c>
      <c r="K131" s="12" t="s">
        <v>278</v>
      </c>
      <c r="L131" s="3" t="s">
        <v>10</v>
      </c>
      <c r="M131" s="3" t="s">
        <v>279</v>
      </c>
      <c r="N131" s="6" t="s">
        <v>280</v>
      </c>
    </row>
    <row r="132" spans="1:14" x14ac:dyDescent="0.35">
      <c r="A132" s="4" t="s">
        <v>275</v>
      </c>
      <c r="B132" s="3" t="s">
        <v>286</v>
      </c>
      <c r="C132" s="3" t="s">
        <v>14</v>
      </c>
      <c r="D132" s="8">
        <v>51.816667000000002</v>
      </c>
      <c r="E132" s="8">
        <v>4.1333330000000004</v>
      </c>
      <c r="F132" s="3">
        <v>1861</v>
      </c>
      <c r="G132" s="3">
        <v>2012</v>
      </c>
      <c r="H132" s="5">
        <f t="shared" si="0"/>
        <v>149</v>
      </c>
      <c r="I132" s="3" t="s">
        <v>739</v>
      </c>
      <c r="J132" s="5">
        <v>3</v>
      </c>
      <c r="K132" s="12" t="s">
        <v>278</v>
      </c>
      <c r="L132" s="3" t="s">
        <v>10</v>
      </c>
      <c r="M132" s="3" t="s">
        <v>279</v>
      </c>
      <c r="N132" s="6" t="s">
        <v>280</v>
      </c>
    </row>
    <row r="133" spans="1:14" x14ac:dyDescent="0.35">
      <c r="A133" s="4" t="s">
        <v>275</v>
      </c>
      <c r="B133" s="3" t="s">
        <v>287</v>
      </c>
      <c r="C133" s="3" t="s">
        <v>14</v>
      </c>
      <c r="D133" s="9">
        <v>52.964444</v>
      </c>
      <c r="E133" s="8">
        <v>4.7450000000000001</v>
      </c>
      <c r="F133" s="3">
        <v>1832</v>
      </c>
      <c r="G133" s="3">
        <v>2012</v>
      </c>
      <c r="H133" s="5">
        <f t="shared" si="0"/>
        <v>181</v>
      </c>
      <c r="I133" s="3" t="s">
        <v>739</v>
      </c>
      <c r="J133" s="5">
        <v>0</v>
      </c>
      <c r="K133" s="12" t="s">
        <v>278</v>
      </c>
      <c r="L133" s="3" t="s">
        <v>10</v>
      </c>
      <c r="M133" s="3" t="s">
        <v>279</v>
      </c>
      <c r="N133" s="6" t="s">
        <v>280</v>
      </c>
    </row>
    <row r="134" spans="1:14" x14ac:dyDescent="0.35">
      <c r="A134" s="4" t="s">
        <v>275</v>
      </c>
      <c r="B134" s="3" t="s">
        <v>288</v>
      </c>
      <c r="C134" s="3" t="s">
        <v>14</v>
      </c>
      <c r="D134" s="8">
        <v>53.326388999999999</v>
      </c>
      <c r="E134" s="8">
        <v>6.9330559999999997</v>
      </c>
      <c r="F134" s="3">
        <v>1827</v>
      </c>
      <c r="G134" s="3">
        <v>2012</v>
      </c>
      <c r="H134" s="5">
        <f t="shared" si="0"/>
        <v>185</v>
      </c>
      <c r="I134" s="3" t="s">
        <v>739</v>
      </c>
      <c r="J134" s="5">
        <v>1</v>
      </c>
      <c r="K134" s="12" t="s">
        <v>278</v>
      </c>
      <c r="L134" s="3" t="s">
        <v>10</v>
      </c>
      <c r="M134" s="3" t="s">
        <v>279</v>
      </c>
      <c r="N134" s="6" t="s">
        <v>280</v>
      </c>
    </row>
    <row r="135" spans="1:14" x14ac:dyDescent="0.35">
      <c r="A135" s="4" t="s">
        <v>275</v>
      </c>
      <c r="B135" s="3" t="s">
        <v>289</v>
      </c>
      <c r="C135" s="3" t="s">
        <v>282</v>
      </c>
      <c r="D135" s="8">
        <v>60.116667</v>
      </c>
      <c r="E135" s="8">
        <v>25.416667</v>
      </c>
      <c r="F135" s="3">
        <v>1866</v>
      </c>
      <c r="G135" s="3">
        <v>2012</v>
      </c>
      <c r="H135" s="5">
        <f t="shared" si="0"/>
        <v>146</v>
      </c>
      <c r="I135" s="3" t="s">
        <v>739</v>
      </c>
      <c r="J135" s="5">
        <v>1</v>
      </c>
      <c r="K135" s="12" t="s">
        <v>278</v>
      </c>
      <c r="L135" s="3" t="s">
        <v>10</v>
      </c>
      <c r="M135" s="3" t="s">
        <v>279</v>
      </c>
      <c r="N135" s="6" t="s">
        <v>280</v>
      </c>
    </row>
    <row r="136" spans="1:14" x14ac:dyDescent="0.35">
      <c r="A136" s="4" t="s">
        <v>275</v>
      </c>
      <c r="B136" s="3" t="s">
        <v>290</v>
      </c>
      <c r="C136" s="3" t="s">
        <v>66</v>
      </c>
      <c r="D136" s="8">
        <v>59.2</v>
      </c>
      <c r="E136" s="8">
        <v>17.616667</v>
      </c>
      <c r="F136" s="3">
        <v>1869</v>
      </c>
      <c r="G136" s="3">
        <v>2012</v>
      </c>
      <c r="H136" s="5">
        <f t="shared" si="0"/>
        <v>144</v>
      </c>
      <c r="I136" s="3" t="s">
        <v>739</v>
      </c>
      <c r="J136" s="5">
        <v>0</v>
      </c>
      <c r="K136" s="12" t="s">
        <v>278</v>
      </c>
      <c r="L136" s="3" t="s">
        <v>10</v>
      </c>
      <c r="M136" s="3" t="s">
        <v>279</v>
      </c>
      <c r="N136" s="6" t="s">
        <v>280</v>
      </c>
    </row>
    <row r="137" spans="1:14" x14ac:dyDescent="0.35">
      <c r="A137" s="4" t="s">
        <v>275</v>
      </c>
      <c r="B137" s="3" t="s">
        <v>291</v>
      </c>
      <c r="C137" s="3" t="s">
        <v>14</v>
      </c>
      <c r="D137" s="8">
        <v>51.633333</v>
      </c>
      <c r="E137" s="8">
        <v>3.9166669999999999</v>
      </c>
      <c r="F137" s="3">
        <v>1872</v>
      </c>
      <c r="G137" s="3">
        <v>2012</v>
      </c>
      <c r="H137" s="5">
        <f t="shared" si="0"/>
        <v>141</v>
      </c>
      <c r="I137" s="3" t="s">
        <v>739</v>
      </c>
      <c r="J137" s="5">
        <v>0</v>
      </c>
      <c r="K137" s="12" t="s">
        <v>278</v>
      </c>
      <c r="L137" s="3" t="s">
        <v>10</v>
      </c>
      <c r="M137" s="3" t="s">
        <v>279</v>
      </c>
      <c r="N137" s="6" t="s">
        <v>280</v>
      </c>
    </row>
    <row r="138" spans="1:14" x14ac:dyDescent="0.35">
      <c r="A138" s="4" t="s">
        <v>275</v>
      </c>
      <c r="B138" s="3" t="s">
        <v>292</v>
      </c>
      <c r="C138" s="3" t="s">
        <v>14</v>
      </c>
      <c r="D138" s="8">
        <v>51.733333000000002</v>
      </c>
      <c r="E138" s="8">
        <v>3.9</v>
      </c>
      <c r="F138" s="3">
        <v>1872</v>
      </c>
      <c r="G138" s="3">
        <v>2012</v>
      </c>
      <c r="H138" s="5">
        <f t="shared" si="0"/>
        <v>129</v>
      </c>
      <c r="I138" s="3" t="s">
        <v>739</v>
      </c>
      <c r="J138" s="5">
        <v>12</v>
      </c>
      <c r="K138" s="12" t="s">
        <v>278</v>
      </c>
      <c r="L138" s="3" t="s">
        <v>10</v>
      </c>
      <c r="M138" s="3" t="s">
        <v>279</v>
      </c>
      <c r="N138" s="6" t="s">
        <v>280</v>
      </c>
    </row>
    <row r="139" spans="1:14" x14ac:dyDescent="0.35">
      <c r="A139" s="4" t="s">
        <v>275</v>
      </c>
      <c r="B139" s="3" t="s">
        <v>293</v>
      </c>
      <c r="C139" s="3" t="s">
        <v>294</v>
      </c>
      <c r="D139" s="8">
        <v>45.416666999999997</v>
      </c>
      <c r="E139" s="8">
        <v>12.333333</v>
      </c>
      <c r="F139" s="3">
        <v>1872</v>
      </c>
      <c r="G139" s="3">
        <v>2012</v>
      </c>
      <c r="H139" s="5">
        <f t="shared" si="0"/>
        <v>134</v>
      </c>
      <c r="I139" s="3" t="s">
        <v>739</v>
      </c>
      <c r="J139" s="5">
        <v>7</v>
      </c>
      <c r="K139" s="12" t="s">
        <v>278</v>
      </c>
      <c r="L139" s="3" t="s">
        <v>10</v>
      </c>
      <c r="M139" s="3" t="s">
        <v>279</v>
      </c>
      <c r="N139" s="6" t="s">
        <v>280</v>
      </c>
    </row>
    <row r="140" spans="1:14" x14ac:dyDescent="0.35">
      <c r="A140" s="4" t="s">
        <v>275</v>
      </c>
      <c r="B140" s="3" t="s">
        <v>295</v>
      </c>
      <c r="C140" s="3" t="s">
        <v>296</v>
      </c>
      <c r="D140" s="8">
        <v>44.616667</v>
      </c>
      <c r="E140" s="8">
        <v>33.533332999999999</v>
      </c>
      <c r="F140" s="3">
        <v>1875</v>
      </c>
      <c r="G140" s="3">
        <v>1994</v>
      </c>
      <c r="H140" s="5">
        <f t="shared" si="0"/>
        <v>113</v>
      </c>
      <c r="I140" s="3" t="s">
        <v>739</v>
      </c>
      <c r="J140" s="5">
        <v>7</v>
      </c>
      <c r="K140" s="12" t="s">
        <v>278</v>
      </c>
      <c r="L140" s="3" t="s">
        <v>10</v>
      </c>
      <c r="M140" s="3" t="s">
        <v>279</v>
      </c>
      <c r="N140" s="6" t="s">
        <v>280</v>
      </c>
    </row>
    <row r="141" spans="1:14" x14ac:dyDescent="0.35">
      <c r="A141" s="4" t="s">
        <v>275</v>
      </c>
      <c r="B141" s="3" t="s">
        <v>297</v>
      </c>
      <c r="C141" s="3" t="s">
        <v>298</v>
      </c>
      <c r="D141" s="8">
        <v>18.916667</v>
      </c>
      <c r="E141" s="8">
        <v>72.833332999999996</v>
      </c>
      <c r="F141" s="3">
        <v>1857</v>
      </c>
      <c r="G141" s="3">
        <v>2012</v>
      </c>
      <c r="H141" s="5">
        <f t="shared" si="0"/>
        <v>136</v>
      </c>
      <c r="I141" s="3" t="s">
        <v>739</v>
      </c>
      <c r="J141" s="5">
        <v>20</v>
      </c>
      <c r="K141" s="12" t="s">
        <v>278</v>
      </c>
      <c r="L141" s="3" t="s">
        <v>10</v>
      </c>
      <c r="M141" s="3" t="s">
        <v>279</v>
      </c>
      <c r="N141" s="6" t="s">
        <v>280</v>
      </c>
    </row>
    <row r="142" spans="1:14" x14ac:dyDescent="0.35">
      <c r="A142" s="4" t="s">
        <v>275</v>
      </c>
      <c r="B142" s="3" t="s">
        <v>299</v>
      </c>
      <c r="C142" s="3" t="s">
        <v>300</v>
      </c>
      <c r="D142" s="8">
        <v>12.788333</v>
      </c>
      <c r="E142" s="8">
        <v>44.974167000000001</v>
      </c>
      <c r="F142" s="3">
        <v>1880</v>
      </c>
      <c r="G142" s="3">
        <v>2012</v>
      </c>
      <c r="H142" s="5">
        <f t="shared" si="0"/>
        <v>105</v>
      </c>
      <c r="I142" s="3" t="s">
        <v>739</v>
      </c>
      <c r="J142" s="5">
        <v>28</v>
      </c>
      <c r="K142" s="12" t="s">
        <v>278</v>
      </c>
      <c r="L142" s="3" t="s">
        <v>10</v>
      </c>
      <c r="M142" s="3" t="s">
        <v>279</v>
      </c>
      <c r="N142" s="6" t="s">
        <v>280</v>
      </c>
    </row>
    <row r="143" spans="1:14" x14ac:dyDescent="0.35">
      <c r="A143" s="4" t="s">
        <v>275</v>
      </c>
      <c r="B143" s="3" t="s">
        <v>301</v>
      </c>
      <c r="C143" s="3" t="s">
        <v>302</v>
      </c>
      <c r="D143" s="8">
        <v>68.212638999999996</v>
      </c>
      <c r="E143" s="8">
        <v>14.482149</v>
      </c>
      <c r="F143" s="3">
        <v>1881</v>
      </c>
      <c r="G143" s="3">
        <v>2012</v>
      </c>
      <c r="H143" s="5">
        <f t="shared" si="0"/>
        <v>81</v>
      </c>
      <c r="I143" s="3" t="s">
        <v>739</v>
      </c>
      <c r="J143" s="5">
        <v>51</v>
      </c>
      <c r="K143" s="12" t="s">
        <v>278</v>
      </c>
      <c r="L143" s="3" t="s">
        <v>10</v>
      </c>
      <c r="M143" s="3" t="s">
        <v>279</v>
      </c>
      <c r="N143" s="6" t="s">
        <v>280</v>
      </c>
    </row>
    <row r="144" spans="1:14" x14ac:dyDescent="0.35">
      <c r="A144" s="4" t="s">
        <v>275</v>
      </c>
      <c r="B144" s="3" t="s">
        <v>303</v>
      </c>
      <c r="C144" s="3" t="s">
        <v>302</v>
      </c>
      <c r="D144" s="8">
        <v>58.974339000000001</v>
      </c>
      <c r="E144" s="8">
        <v>5.7301209999999996</v>
      </c>
      <c r="F144" s="3">
        <v>1881</v>
      </c>
      <c r="G144" s="3">
        <v>2013</v>
      </c>
      <c r="H144" s="5">
        <f t="shared" si="0"/>
        <v>95</v>
      </c>
      <c r="I144" s="3" t="s">
        <v>739</v>
      </c>
      <c r="J144" s="5">
        <v>38</v>
      </c>
      <c r="K144" s="12" t="s">
        <v>278</v>
      </c>
      <c r="L144" s="3" t="s">
        <v>10</v>
      </c>
      <c r="M144" s="3" t="s">
        <v>279</v>
      </c>
      <c r="N144" s="6" t="s">
        <v>280</v>
      </c>
    </row>
    <row r="145" spans="1:14" x14ac:dyDescent="0.35">
      <c r="A145" s="4" t="s">
        <v>275</v>
      </c>
      <c r="B145" s="3" t="s">
        <v>304</v>
      </c>
      <c r="C145" s="3" t="s">
        <v>223</v>
      </c>
      <c r="D145" s="8">
        <v>38.683332999999998</v>
      </c>
      <c r="E145" s="8">
        <v>-9.4166670000000003</v>
      </c>
      <c r="F145" s="3">
        <v>1882</v>
      </c>
      <c r="G145" s="3">
        <v>2012</v>
      </c>
      <c r="H145" s="5">
        <f t="shared" si="0"/>
        <v>117</v>
      </c>
      <c r="I145" s="3" t="s">
        <v>739</v>
      </c>
      <c r="J145" s="5">
        <v>14</v>
      </c>
      <c r="K145" s="12" t="s">
        <v>278</v>
      </c>
      <c r="L145" s="3" t="s">
        <v>10</v>
      </c>
      <c r="M145" s="3" t="s">
        <v>279</v>
      </c>
      <c r="N145" s="6" t="s">
        <v>280</v>
      </c>
    </row>
    <row r="146" spans="1:14" x14ac:dyDescent="0.35">
      <c r="A146" s="4" t="s">
        <v>275</v>
      </c>
      <c r="B146" s="3" t="s">
        <v>305</v>
      </c>
      <c r="C146" s="3" t="s">
        <v>282</v>
      </c>
      <c r="D146" s="8">
        <v>63.081533</v>
      </c>
      <c r="E146" s="8">
        <v>21.571183000000001</v>
      </c>
      <c r="F146" s="3">
        <v>1867</v>
      </c>
      <c r="G146" s="3">
        <v>2012</v>
      </c>
      <c r="H146" s="5">
        <f t="shared" si="0"/>
        <v>135</v>
      </c>
      <c r="I146" s="3" t="s">
        <v>739</v>
      </c>
      <c r="J146" s="5">
        <v>11</v>
      </c>
      <c r="K146" s="12" t="s">
        <v>278</v>
      </c>
      <c r="L146" s="3" t="s">
        <v>10</v>
      </c>
      <c r="M146" s="3" t="s">
        <v>279</v>
      </c>
      <c r="N146" s="6" t="s">
        <v>280</v>
      </c>
    </row>
    <row r="147" spans="1:14" x14ac:dyDescent="0.35">
      <c r="A147" s="4" t="s">
        <v>275</v>
      </c>
      <c r="B147" s="3" t="s">
        <v>306</v>
      </c>
      <c r="C147" s="3" t="s">
        <v>302</v>
      </c>
      <c r="D147" s="8">
        <v>60.398046000000001</v>
      </c>
      <c r="E147" s="8">
        <v>5.320487</v>
      </c>
      <c r="F147" s="3">
        <v>1883</v>
      </c>
      <c r="G147" s="3">
        <v>2012</v>
      </c>
      <c r="H147" s="5">
        <f t="shared" si="0"/>
        <v>102</v>
      </c>
      <c r="I147" s="3" t="s">
        <v>739</v>
      </c>
      <c r="J147" s="5">
        <v>28</v>
      </c>
      <c r="K147" s="12" t="s">
        <v>278</v>
      </c>
      <c r="L147" s="3" t="s">
        <v>10</v>
      </c>
      <c r="M147" s="3" t="s">
        <v>279</v>
      </c>
      <c r="N147" s="6" t="s">
        <v>280</v>
      </c>
    </row>
    <row r="148" spans="1:14" x14ac:dyDescent="0.35">
      <c r="A148" s="4" t="s">
        <v>275</v>
      </c>
      <c r="B148" s="3" t="s">
        <v>307</v>
      </c>
      <c r="C148" s="3" t="s">
        <v>302</v>
      </c>
      <c r="D148" s="8">
        <v>59.908558999999997</v>
      </c>
      <c r="E148" s="8">
        <v>10.73451</v>
      </c>
      <c r="F148" s="3">
        <v>1886</v>
      </c>
      <c r="G148" s="3">
        <v>2012</v>
      </c>
      <c r="H148" s="5">
        <f t="shared" si="0"/>
        <v>104</v>
      </c>
      <c r="I148" s="3" t="s">
        <v>739</v>
      </c>
      <c r="J148" s="5">
        <v>23</v>
      </c>
      <c r="K148" s="12" t="s">
        <v>278</v>
      </c>
      <c r="L148" s="3" t="s">
        <v>10</v>
      </c>
      <c r="M148" s="3" t="s">
        <v>279</v>
      </c>
      <c r="N148" s="6" t="s">
        <v>280</v>
      </c>
    </row>
    <row r="149" spans="1:14" x14ac:dyDescent="0.35">
      <c r="A149" s="4" t="s">
        <v>275</v>
      </c>
      <c r="B149" s="3" t="s">
        <v>308</v>
      </c>
      <c r="C149" s="3" t="s">
        <v>277</v>
      </c>
      <c r="D149" s="8">
        <v>54.4</v>
      </c>
      <c r="E149" s="8">
        <v>18.683333000000001</v>
      </c>
      <c r="F149" s="3">
        <v>1886</v>
      </c>
      <c r="G149" s="3">
        <v>2011</v>
      </c>
      <c r="H149" s="5">
        <f t="shared" si="0"/>
        <v>114</v>
      </c>
      <c r="I149" s="3" t="s">
        <v>739</v>
      </c>
      <c r="J149" s="5">
        <v>12</v>
      </c>
      <c r="K149" s="12" t="s">
        <v>278</v>
      </c>
      <c r="L149" s="3" t="s">
        <v>10</v>
      </c>
      <c r="M149" s="3" t="s">
        <v>279</v>
      </c>
      <c r="N149" s="6" t="s">
        <v>280</v>
      </c>
    </row>
    <row r="150" spans="1:14" x14ac:dyDescent="0.35">
      <c r="A150" s="4" t="s">
        <v>275</v>
      </c>
      <c r="B150" s="3" t="s">
        <v>309</v>
      </c>
      <c r="C150" s="3" t="s">
        <v>71</v>
      </c>
      <c r="D150" s="8">
        <v>-33.85</v>
      </c>
      <c r="E150" s="8">
        <v>151.23333299999999</v>
      </c>
      <c r="F150" s="3">
        <v>1873</v>
      </c>
      <c r="G150" s="3">
        <v>2012</v>
      </c>
      <c r="H150" s="5">
        <f t="shared" si="0"/>
        <v>140</v>
      </c>
      <c r="I150" s="3" t="s">
        <v>739</v>
      </c>
      <c r="J150" s="5">
        <v>0</v>
      </c>
      <c r="K150" s="12" t="s">
        <v>278</v>
      </c>
      <c r="L150" s="3" t="s">
        <v>10</v>
      </c>
      <c r="M150" s="3" t="s">
        <v>279</v>
      </c>
      <c r="N150" s="6" t="s">
        <v>280</v>
      </c>
    </row>
    <row r="151" spans="1:14" x14ac:dyDescent="0.35">
      <c r="A151" s="4" t="s">
        <v>275</v>
      </c>
      <c r="B151" s="3" t="s">
        <v>310</v>
      </c>
      <c r="C151" s="3" t="s">
        <v>66</v>
      </c>
      <c r="D151" s="8">
        <v>58.742221999999998</v>
      </c>
      <c r="E151" s="8">
        <v>17.865278</v>
      </c>
      <c r="F151" s="3">
        <v>1887</v>
      </c>
      <c r="G151" s="3">
        <v>2012</v>
      </c>
      <c r="H151" s="5">
        <f t="shared" si="0"/>
        <v>126</v>
      </c>
      <c r="I151" s="3" t="s">
        <v>739</v>
      </c>
      <c r="J151" s="5">
        <v>0</v>
      </c>
      <c r="K151" s="12" t="s">
        <v>278</v>
      </c>
      <c r="L151" s="3" t="s">
        <v>10</v>
      </c>
      <c r="M151" s="3" t="s">
        <v>279</v>
      </c>
      <c r="N151" s="6" t="s">
        <v>280</v>
      </c>
    </row>
    <row r="152" spans="1:14" x14ac:dyDescent="0.35">
      <c r="A152" s="4" t="s">
        <v>275</v>
      </c>
      <c r="B152" s="3" t="s">
        <v>311</v>
      </c>
      <c r="C152" s="3" t="s">
        <v>282</v>
      </c>
      <c r="D152" s="8">
        <v>59.822867000000002</v>
      </c>
      <c r="E152" s="8">
        <v>22.976583000000002</v>
      </c>
      <c r="F152" s="3">
        <v>1866</v>
      </c>
      <c r="G152" s="3">
        <v>2012</v>
      </c>
      <c r="H152" s="5">
        <f t="shared" si="0"/>
        <v>130</v>
      </c>
      <c r="I152" s="3" t="s">
        <v>739</v>
      </c>
      <c r="J152" s="5">
        <v>17</v>
      </c>
      <c r="K152" s="12" t="s">
        <v>278</v>
      </c>
      <c r="L152" s="3" t="s">
        <v>10</v>
      </c>
      <c r="M152" s="3" t="s">
        <v>279</v>
      </c>
      <c r="N152" s="6" t="s">
        <v>280</v>
      </c>
    </row>
    <row r="153" spans="1:14" x14ac:dyDescent="0.35">
      <c r="A153" s="4" t="s">
        <v>275</v>
      </c>
      <c r="B153" s="3" t="s">
        <v>312</v>
      </c>
      <c r="C153" s="3" t="s">
        <v>66</v>
      </c>
      <c r="D153" s="8">
        <v>55.416666999999997</v>
      </c>
      <c r="E153" s="8">
        <v>13.816667000000001</v>
      </c>
      <c r="F153" s="3">
        <v>1887</v>
      </c>
      <c r="G153" s="3">
        <v>2012</v>
      </c>
      <c r="H153" s="5">
        <f t="shared" si="0"/>
        <v>126</v>
      </c>
      <c r="I153" s="3" t="s">
        <v>739</v>
      </c>
      <c r="J153" s="5">
        <v>0</v>
      </c>
      <c r="K153" s="12" t="s">
        <v>278</v>
      </c>
      <c r="L153" s="3" t="s">
        <v>10</v>
      </c>
      <c r="M153" s="3" t="s">
        <v>279</v>
      </c>
      <c r="N153" s="6" t="s">
        <v>280</v>
      </c>
    </row>
    <row r="154" spans="1:14" x14ac:dyDescent="0.35">
      <c r="A154" s="4" t="s">
        <v>275</v>
      </c>
      <c r="B154" s="3" t="s">
        <v>313</v>
      </c>
      <c r="C154" s="3" t="s">
        <v>66</v>
      </c>
      <c r="D154" s="8">
        <v>57.1</v>
      </c>
      <c r="E154" s="8">
        <v>12.216666999999999</v>
      </c>
      <c r="F154" s="3">
        <v>1887</v>
      </c>
      <c r="G154" s="3">
        <v>2012</v>
      </c>
      <c r="H154" s="5">
        <f t="shared" si="0"/>
        <v>126</v>
      </c>
      <c r="I154" s="3" t="s">
        <v>739</v>
      </c>
      <c r="J154" s="5">
        <v>0</v>
      </c>
      <c r="K154" s="12" t="s">
        <v>278</v>
      </c>
      <c r="L154" s="3" t="s">
        <v>10</v>
      </c>
      <c r="M154" s="3" t="s">
        <v>279</v>
      </c>
      <c r="N154" s="6" t="s">
        <v>280</v>
      </c>
    </row>
    <row r="155" spans="1:14" x14ac:dyDescent="0.35">
      <c r="A155" s="4" t="s">
        <v>275</v>
      </c>
      <c r="B155" s="3" t="s">
        <v>314</v>
      </c>
      <c r="C155" s="3" t="s">
        <v>66</v>
      </c>
      <c r="D155" s="8">
        <v>58.483333000000002</v>
      </c>
      <c r="E155" s="8">
        <v>16.416667</v>
      </c>
      <c r="F155" s="3">
        <v>1864</v>
      </c>
      <c r="G155" s="3">
        <v>2013</v>
      </c>
      <c r="H155" s="5">
        <f t="shared" si="0"/>
        <v>150</v>
      </c>
      <c r="I155" s="3" t="s">
        <v>739</v>
      </c>
      <c r="J155" s="5">
        <v>0</v>
      </c>
      <c r="K155" s="12" t="s">
        <v>278</v>
      </c>
      <c r="L155" s="3" t="s">
        <v>10</v>
      </c>
      <c r="M155" s="3" t="s">
        <v>279</v>
      </c>
      <c r="N155" s="6" t="s">
        <v>280</v>
      </c>
    </row>
    <row r="156" spans="1:14" x14ac:dyDescent="0.35">
      <c r="A156" s="4" t="s">
        <v>275</v>
      </c>
      <c r="B156" s="3" t="s">
        <v>315</v>
      </c>
      <c r="C156" s="3" t="s">
        <v>66</v>
      </c>
      <c r="D156" s="8">
        <v>60.633333</v>
      </c>
      <c r="E156" s="8">
        <v>17.966667000000001</v>
      </c>
      <c r="F156" s="3">
        <v>1892</v>
      </c>
      <c r="G156" s="3">
        <v>2012</v>
      </c>
      <c r="H156" s="5">
        <f t="shared" si="0"/>
        <v>121</v>
      </c>
      <c r="I156" s="3" t="s">
        <v>739</v>
      </c>
      <c r="J156" s="5">
        <v>0</v>
      </c>
      <c r="K156" s="12" t="s">
        <v>278</v>
      </c>
      <c r="L156" s="3" t="s">
        <v>10</v>
      </c>
      <c r="M156" s="3" t="s">
        <v>279</v>
      </c>
      <c r="N156" s="6" t="s">
        <v>280</v>
      </c>
    </row>
    <row r="157" spans="1:14" x14ac:dyDescent="0.35">
      <c r="A157" s="4" t="s">
        <v>275</v>
      </c>
      <c r="B157" s="3" t="s">
        <v>316</v>
      </c>
      <c r="C157" s="3" t="s">
        <v>252</v>
      </c>
      <c r="D157" s="8">
        <v>34.9</v>
      </c>
      <c r="E157" s="8">
        <v>132.066667</v>
      </c>
      <c r="F157" s="3">
        <v>1894</v>
      </c>
      <c r="G157" s="3">
        <v>2012</v>
      </c>
      <c r="H157" s="5">
        <f t="shared" si="0"/>
        <v>118</v>
      </c>
      <c r="I157" s="3" t="s">
        <v>739</v>
      </c>
      <c r="J157" s="5">
        <v>1</v>
      </c>
      <c r="K157" s="12" t="s">
        <v>278</v>
      </c>
      <c r="L157" s="3" t="s">
        <v>10</v>
      </c>
      <c r="M157" s="3" t="s">
        <v>279</v>
      </c>
      <c r="N157" s="6" t="s">
        <v>280</v>
      </c>
    </row>
    <row r="158" spans="1:14" x14ac:dyDescent="0.35">
      <c r="A158" s="4" t="s">
        <v>275</v>
      </c>
      <c r="B158" s="3" t="s">
        <v>317</v>
      </c>
      <c r="C158" s="3" t="s">
        <v>318</v>
      </c>
      <c r="D158" s="8">
        <v>44.666666999999997</v>
      </c>
      <c r="E158" s="8">
        <v>-63.583333000000003</v>
      </c>
      <c r="F158" s="3">
        <v>1852</v>
      </c>
      <c r="G158" s="3">
        <v>2012</v>
      </c>
      <c r="H158" s="5">
        <f t="shared" si="0"/>
        <v>96</v>
      </c>
      <c r="I158" s="3" t="s">
        <v>739</v>
      </c>
      <c r="J158" s="5">
        <v>65</v>
      </c>
      <c r="K158" s="12" t="s">
        <v>278</v>
      </c>
      <c r="L158" s="3" t="s">
        <v>10</v>
      </c>
      <c r="M158" s="3" t="s">
        <v>279</v>
      </c>
      <c r="N158" s="6" t="s">
        <v>280</v>
      </c>
    </row>
    <row r="159" spans="1:14" x14ac:dyDescent="0.35">
      <c r="A159" s="4" t="s">
        <v>275</v>
      </c>
      <c r="B159" s="3" t="s">
        <v>319</v>
      </c>
      <c r="C159" s="3" t="s">
        <v>66</v>
      </c>
      <c r="D159" s="8">
        <v>60.683332999999998</v>
      </c>
      <c r="E159" s="8">
        <v>17.166667</v>
      </c>
      <c r="F159" s="3">
        <v>1896</v>
      </c>
      <c r="G159" s="3">
        <v>2012</v>
      </c>
      <c r="H159" s="5">
        <f t="shared" si="0"/>
        <v>117</v>
      </c>
      <c r="I159" s="3" t="s">
        <v>739</v>
      </c>
      <c r="J159" s="5">
        <v>0</v>
      </c>
      <c r="K159" s="12" t="s">
        <v>278</v>
      </c>
      <c r="L159" s="3" t="s">
        <v>10</v>
      </c>
      <c r="M159" s="3" t="s">
        <v>279</v>
      </c>
      <c r="N159" s="6" t="s">
        <v>280</v>
      </c>
    </row>
    <row r="160" spans="1:14" x14ac:dyDescent="0.35">
      <c r="A160" s="4" t="s">
        <v>275</v>
      </c>
      <c r="B160" s="3" t="s">
        <v>320</v>
      </c>
      <c r="C160" s="3" t="s">
        <v>321</v>
      </c>
      <c r="D160" s="8">
        <v>55.7</v>
      </c>
      <c r="E160" s="8">
        <v>21.133333</v>
      </c>
      <c r="F160" s="3">
        <v>1865</v>
      </c>
      <c r="G160" s="3">
        <v>2011</v>
      </c>
      <c r="H160" s="5">
        <f t="shared" si="0"/>
        <v>134</v>
      </c>
      <c r="I160" s="3" t="s">
        <v>739</v>
      </c>
      <c r="J160" s="5">
        <v>13</v>
      </c>
      <c r="K160" s="12" t="s">
        <v>278</v>
      </c>
      <c r="L160" s="3" t="s">
        <v>10</v>
      </c>
      <c r="M160" s="3" t="s">
        <v>279</v>
      </c>
      <c r="N160" s="6" t="s">
        <v>280</v>
      </c>
    </row>
    <row r="161" spans="1:14" x14ac:dyDescent="0.35">
      <c r="A161" s="4" t="s">
        <v>275</v>
      </c>
      <c r="B161" s="3" t="s">
        <v>322</v>
      </c>
      <c r="C161" s="3" t="s">
        <v>323</v>
      </c>
      <c r="D161" s="8">
        <v>56.091110999999998</v>
      </c>
      <c r="E161" s="8">
        <v>12.458333</v>
      </c>
      <c r="F161" s="3">
        <v>1891</v>
      </c>
      <c r="G161" s="3">
        <v>2012</v>
      </c>
      <c r="H161" s="5">
        <f t="shared" si="0"/>
        <v>118</v>
      </c>
      <c r="I161" s="3" t="s">
        <v>739</v>
      </c>
      <c r="J161" s="5">
        <v>4</v>
      </c>
      <c r="K161" s="12" t="s">
        <v>278</v>
      </c>
      <c r="L161" s="3" t="s">
        <v>10</v>
      </c>
      <c r="M161" s="3" t="s">
        <v>279</v>
      </c>
      <c r="N161" s="6" t="s">
        <v>280</v>
      </c>
    </row>
    <row r="162" spans="1:14" x14ac:dyDescent="0.35">
      <c r="A162" s="4" t="s">
        <v>275</v>
      </c>
      <c r="B162" s="3" t="s">
        <v>324</v>
      </c>
      <c r="C162" s="3" t="s">
        <v>323</v>
      </c>
      <c r="D162" s="8">
        <v>54.572778</v>
      </c>
      <c r="E162" s="8">
        <v>11.925556</v>
      </c>
      <c r="F162" s="3">
        <v>1882</v>
      </c>
      <c r="G162" s="3">
        <v>2012</v>
      </c>
      <c r="H162" s="5">
        <f t="shared" si="0"/>
        <v>129</v>
      </c>
      <c r="I162" s="3" t="s">
        <v>739</v>
      </c>
      <c r="J162" s="5">
        <v>2</v>
      </c>
      <c r="K162" s="12" t="s">
        <v>278</v>
      </c>
      <c r="L162" s="3" t="s">
        <v>10</v>
      </c>
      <c r="M162" s="3" t="s">
        <v>279</v>
      </c>
      <c r="N162" s="6" t="s">
        <v>280</v>
      </c>
    </row>
    <row r="163" spans="1:14" x14ac:dyDescent="0.35">
      <c r="A163" s="4" t="s">
        <v>275</v>
      </c>
      <c r="B163" s="3" t="s">
        <v>325</v>
      </c>
      <c r="C163" s="3" t="s">
        <v>66</v>
      </c>
      <c r="D163" s="8">
        <v>62.366667</v>
      </c>
      <c r="E163" s="8">
        <v>17.533332999999999</v>
      </c>
      <c r="F163" s="3">
        <v>1898</v>
      </c>
      <c r="G163" s="3">
        <v>2012</v>
      </c>
      <c r="H163" s="5">
        <f t="shared" si="0"/>
        <v>114</v>
      </c>
      <c r="I163" s="3" t="s">
        <v>739</v>
      </c>
      <c r="J163" s="5">
        <v>1</v>
      </c>
      <c r="K163" s="12" t="s">
        <v>278</v>
      </c>
      <c r="L163" s="3" t="s">
        <v>10</v>
      </c>
      <c r="M163" s="3" t="s">
        <v>279</v>
      </c>
      <c r="N163" s="6" t="s">
        <v>280</v>
      </c>
    </row>
    <row r="164" spans="1:14" x14ac:dyDescent="0.35">
      <c r="A164" s="4" t="s">
        <v>275</v>
      </c>
      <c r="B164" s="3" t="s">
        <v>326</v>
      </c>
      <c r="C164" s="3" t="s">
        <v>252</v>
      </c>
      <c r="D164" s="8">
        <v>35.160277999999998</v>
      </c>
      <c r="E164" s="8">
        <v>139.61527799999999</v>
      </c>
      <c r="F164" s="3">
        <v>1895</v>
      </c>
      <c r="G164" s="3">
        <v>2012</v>
      </c>
      <c r="H164" s="5">
        <f t="shared" si="0"/>
        <v>117</v>
      </c>
      <c r="I164" s="3" t="s">
        <v>739</v>
      </c>
      <c r="J164" s="5">
        <v>1</v>
      </c>
      <c r="K164" s="12" t="s">
        <v>278</v>
      </c>
      <c r="L164" s="3" t="s">
        <v>10</v>
      </c>
      <c r="M164" s="3" t="s">
        <v>279</v>
      </c>
      <c r="N164" s="6" t="s">
        <v>280</v>
      </c>
    </row>
    <row r="165" spans="1:14" x14ac:dyDescent="0.35">
      <c r="A165" s="4" t="s">
        <v>275</v>
      </c>
      <c r="B165" s="3" t="s">
        <v>327</v>
      </c>
      <c r="C165" s="3" t="s">
        <v>252</v>
      </c>
      <c r="D165" s="8">
        <v>37.405833000000001</v>
      </c>
      <c r="E165" s="8">
        <v>136.90027799999999</v>
      </c>
      <c r="F165" s="3">
        <v>1895</v>
      </c>
      <c r="G165" s="3">
        <v>2012</v>
      </c>
      <c r="H165" s="5">
        <f t="shared" si="0"/>
        <v>118</v>
      </c>
      <c r="I165" s="3" t="s">
        <v>739</v>
      </c>
      <c r="J165" s="5">
        <v>0</v>
      </c>
      <c r="K165" s="12" t="s">
        <v>278</v>
      </c>
      <c r="L165" s="3" t="s">
        <v>10</v>
      </c>
      <c r="M165" s="3" t="s">
        <v>279</v>
      </c>
      <c r="N165" s="6" t="s">
        <v>280</v>
      </c>
    </row>
    <row r="166" spans="1:14" x14ac:dyDescent="0.35">
      <c r="A166" s="4" t="s">
        <v>275</v>
      </c>
      <c r="B166" s="3" t="s">
        <v>328</v>
      </c>
      <c r="C166" s="3" t="s">
        <v>252</v>
      </c>
      <c r="D166" s="8">
        <v>32.428610999999997</v>
      </c>
      <c r="E166" s="8">
        <v>131.669444</v>
      </c>
      <c r="F166" s="3">
        <v>1894</v>
      </c>
      <c r="G166" s="3">
        <v>2012</v>
      </c>
      <c r="H166" s="5">
        <f t="shared" si="0"/>
        <v>117</v>
      </c>
      <c r="I166" s="3" t="s">
        <v>739</v>
      </c>
      <c r="J166" s="5">
        <v>2</v>
      </c>
      <c r="K166" s="12" t="s">
        <v>278</v>
      </c>
      <c r="L166" s="3" t="s">
        <v>10</v>
      </c>
      <c r="M166" s="3" t="s">
        <v>279</v>
      </c>
      <c r="N166" s="6" t="s">
        <v>280</v>
      </c>
    </row>
    <row r="167" spans="1:14" x14ac:dyDescent="0.35">
      <c r="A167" s="4" t="s">
        <v>275</v>
      </c>
      <c r="B167" s="3" t="s">
        <v>329</v>
      </c>
      <c r="C167" s="3" t="s">
        <v>252</v>
      </c>
      <c r="D167" s="8">
        <v>33.475833000000002</v>
      </c>
      <c r="E167" s="8">
        <v>135.77333300000001</v>
      </c>
      <c r="F167" s="3">
        <v>1895</v>
      </c>
      <c r="G167" s="3">
        <v>2012</v>
      </c>
      <c r="H167" s="5">
        <f t="shared" si="0"/>
        <v>83</v>
      </c>
      <c r="I167" s="3" t="s">
        <v>739</v>
      </c>
      <c r="J167" s="5">
        <v>35</v>
      </c>
      <c r="K167" s="12" t="s">
        <v>278</v>
      </c>
      <c r="L167" s="3" t="s">
        <v>10</v>
      </c>
      <c r="M167" s="3" t="s">
        <v>279</v>
      </c>
      <c r="N167" s="6" t="s">
        <v>280</v>
      </c>
    </row>
    <row r="168" spans="1:14" x14ac:dyDescent="0.35">
      <c r="A168" s="4" t="s">
        <v>275</v>
      </c>
      <c r="B168" s="3" t="s">
        <v>330</v>
      </c>
      <c r="C168" s="3" t="s">
        <v>130</v>
      </c>
      <c r="D168" s="8">
        <v>-45.878680000000003</v>
      </c>
      <c r="E168" s="8">
        <v>170.51336000000001</v>
      </c>
      <c r="F168" s="3">
        <v>1900</v>
      </c>
      <c r="G168" s="3">
        <v>2012</v>
      </c>
      <c r="H168" s="5">
        <f t="shared" si="0"/>
        <v>87</v>
      </c>
      <c r="I168" s="3" t="s">
        <v>739</v>
      </c>
      <c r="J168" s="5">
        <v>26</v>
      </c>
      <c r="K168" s="12" t="s">
        <v>278</v>
      </c>
      <c r="L168" s="3" t="s">
        <v>10</v>
      </c>
      <c r="M168" s="3" t="s">
        <v>279</v>
      </c>
      <c r="N168" s="6" t="s">
        <v>280</v>
      </c>
    </row>
    <row r="169" spans="1:14" x14ac:dyDescent="0.35">
      <c r="A169" s="4" t="s">
        <v>275</v>
      </c>
      <c r="B169" s="3" t="s">
        <v>331</v>
      </c>
      <c r="C169" s="3" t="s">
        <v>252</v>
      </c>
      <c r="D169" s="8">
        <v>32.683332999999998</v>
      </c>
      <c r="E169" s="8">
        <v>129.816667</v>
      </c>
      <c r="F169" s="3">
        <v>1894</v>
      </c>
      <c r="G169" s="3">
        <v>2012</v>
      </c>
      <c r="H169" s="5">
        <f t="shared" si="0"/>
        <v>86</v>
      </c>
      <c r="I169" s="3" t="s">
        <v>739</v>
      </c>
      <c r="J169" s="5">
        <v>33</v>
      </c>
      <c r="K169" s="12" t="s">
        <v>278</v>
      </c>
      <c r="L169" s="3" t="s">
        <v>10</v>
      </c>
      <c r="M169" s="3" t="s">
        <v>279</v>
      </c>
      <c r="N169" s="6" t="s">
        <v>280</v>
      </c>
    </row>
    <row r="170" spans="1:14" x14ac:dyDescent="0.35">
      <c r="A170" s="4" t="s">
        <v>275</v>
      </c>
      <c r="B170" s="3" t="s">
        <v>332</v>
      </c>
      <c r="C170" s="3" t="s">
        <v>333</v>
      </c>
      <c r="D170" s="8">
        <v>14.583333</v>
      </c>
      <c r="E170" s="8">
        <v>120.966667</v>
      </c>
      <c r="F170" s="3">
        <v>1902</v>
      </c>
      <c r="G170" s="3">
        <v>2011</v>
      </c>
      <c r="H170" s="5">
        <f t="shared" si="0"/>
        <v>77</v>
      </c>
      <c r="I170" s="3" t="s">
        <v>739</v>
      </c>
      <c r="J170" s="5">
        <v>33</v>
      </c>
      <c r="K170" s="12" t="s">
        <v>278</v>
      </c>
      <c r="L170" s="3" t="s">
        <v>10</v>
      </c>
      <c r="M170" s="3" t="s">
        <v>279</v>
      </c>
      <c r="N170" s="6" t="s">
        <v>280</v>
      </c>
    </row>
    <row r="171" spans="1:14" x14ac:dyDescent="0.35">
      <c r="A171" s="4" t="s">
        <v>275</v>
      </c>
      <c r="B171" s="3" t="s">
        <v>334</v>
      </c>
      <c r="C171" s="3" t="s">
        <v>130</v>
      </c>
      <c r="D171" s="8">
        <v>-36.843069999999997</v>
      </c>
      <c r="E171" s="8">
        <v>174.76946000000001</v>
      </c>
      <c r="F171" s="3">
        <v>1899</v>
      </c>
      <c r="G171" s="3">
        <v>2012</v>
      </c>
      <c r="H171" s="5">
        <f t="shared" si="0"/>
        <v>112</v>
      </c>
      <c r="I171" s="3" t="s">
        <v>739</v>
      </c>
      <c r="J171" s="5">
        <v>2</v>
      </c>
      <c r="K171" s="12" t="s">
        <v>278</v>
      </c>
      <c r="L171" s="3" t="s">
        <v>10</v>
      </c>
      <c r="M171" s="3" t="s">
        <v>279</v>
      </c>
      <c r="N171" s="6" t="s">
        <v>280</v>
      </c>
    </row>
    <row r="172" spans="1:14" x14ac:dyDescent="0.35">
      <c r="A172" s="4" t="s">
        <v>275</v>
      </c>
      <c r="B172" s="3" t="s">
        <v>335</v>
      </c>
      <c r="C172" s="3" t="s">
        <v>336</v>
      </c>
      <c r="D172" s="5">
        <v>22.616667</v>
      </c>
      <c r="E172" s="8">
        <v>120.266667</v>
      </c>
      <c r="F172" s="3">
        <v>1904</v>
      </c>
      <c r="G172" s="3">
        <v>2012</v>
      </c>
      <c r="H172" s="5">
        <f t="shared" si="0"/>
        <v>106</v>
      </c>
      <c r="I172" s="3" t="s">
        <v>739</v>
      </c>
      <c r="J172" s="5">
        <v>3</v>
      </c>
      <c r="K172" s="12" t="s">
        <v>278</v>
      </c>
      <c r="L172" s="3" t="s">
        <v>10</v>
      </c>
      <c r="M172" s="3" t="s">
        <v>279</v>
      </c>
      <c r="N172" s="6" t="s">
        <v>280</v>
      </c>
    </row>
    <row r="173" spans="1:14" x14ac:dyDescent="0.35">
      <c r="A173" s="4" t="s">
        <v>275</v>
      </c>
      <c r="B173" s="3" t="s">
        <v>337</v>
      </c>
      <c r="C173" s="3" t="s">
        <v>336</v>
      </c>
      <c r="D173" s="8">
        <v>25.15</v>
      </c>
      <c r="E173" s="8">
        <v>121.75</v>
      </c>
      <c r="F173" s="3">
        <v>1899</v>
      </c>
      <c r="G173" s="3">
        <v>2012</v>
      </c>
      <c r="H173" s="5">
        <f t="shared" si="0"/>
        <v>114</v>
      </c>
      <c r="I173" s="3" t="s">
        <v>739</v>
      </c>
      <c r="J173" s="5">
        <v>0</v>
      </c>
      <c r="K173" s="12" t="s">
        <v>278</v>
      </c>
      <c r="L173" s="3" t="s">
        <v>10</v>
      </c>
      <c r="M173" s="3" t="s">
        <v>279</v>
      </c>
      <c r="N173" s="6" t="s">
        <v>280</v>
      </c>
    </row>
    <row r="174" spans="1:14" x14ac:dyDescent="0.35">
      <c r="A174" s="4" t="s">
        <v>275</v>
      </c>
      <c r="B174" s="3" t="s">
        <v>338</v>
      </c>
      <c r="C174" s="3" t="s">
        <v>339</v>
      </c>
      <c r="D174" s="8">
        <v>-34.6</v>
      </c>
      <c r="E174" s="8">
        <v>-58.366667</v>
      </c>
      <c r="F174" s="3">
        <v>1871</v>
      </c>
      <c r="G174" s="3">
        <v>2012</v>
      </c>
      <c r="H174" s="5">
        <f t="shared" si="0"/>
        <v>114</v>
      </c>
      <c r="I174" s="3" t="s">
        <v>739</v>
      </c>
      <c r="J174" s="5">
        <v>28</v>
      </c>
      <c r="K174" s="12" t="s">
        <v>278</v>
      </c>
      <c r="L174" s="3" t="s">
        <v>10</v>
      </c>
      <c r="M174" s="3" t="s">
        <v>279</v>
      </c>
      <c r="N174" s="6" t="s">
        <v>280</v>
      </c>
    </row>
    <row r="175" spans="1:14" x14ac:dyDescent="0.35">
      <c r="A175" s="4" t="s">
        <v>275</v>
      </c>
      <c r="B175" s="3" t="s">
        <v>340</v>
      </c>
      <c r="C175" s="3" t="s">
        <v>223</v>
      </c>
      <c r="D175" s="8">
        <v>37.1</v>
      </c>
      <c r="E175" s="9">
        <v>-8.6666670000000003</v>
      </c>
      <c r="F175" s="3">
        <v>1909</v>
      </c>
      <c r="G175" s="3">
        <v>2012</v>
      </c>
      <c r="H175" s="5">
        <f t="shared" si="0"/>
        <v>90</v>
      </c>
      <c r="I175" s="3" t="s">
        <v>739</v>
      </c>
      <c r="J175" s="5">
        <v>14</v>
      </c>
      <c r="K175" s="12" t="s">
        <v>278</v>
      </c>
      <c r="L175" s="3" t="s">
        <v>10</v>
      </c>
      <c r="M175" s="3" t="s">
        <v>279</v>
      </c>
      <c r="N175" s="6" t="s">
        <v>280</v>
      </c>
    </row>
    <row r="176" spans="1:14" x14ac:dyDescent="0.35">
      <c r="A176" s="4" t="s">
        <v>275</v>
      </c>
      <c r="B176" s="3" t="s">
        <v>341</v>
      </c>
      <c r="C176" s="3" t="s">
        <v>84</v>
      </c>
      <c r="D176" s="8">
        <v>8.9666669999999993</v>
      </c>
      <c r="E176" s="8">
        <v>-79.566666999999995</v>
      </c>
      <c r="F176" s="3">
        <v>1908</v>
      </c>
      <c r="G176" s="3">
        <v>2012</v>
      </c>
      <c r="H176" s="5">
        <f t="shared" si="0"/>
        <v>104</v>
      </c>
      <c r="I176" s="3" t="s">
        <v>739</v>
      </c>
      <c r="J176" s="5">
        <v>1</v>
      </c>
      <c r="K176" s="12" t="s">
        <v>278</v>
      </c>
      <c r="L176" s="3" t="s">
        <v>10</v>
      </c>
      <c r="M176" s="3" t="s">
        <v>279</v>
      </c>
      <c r="N176" s="6" t="s">
        <v>280</v>
      </c>
    </row>
    <row r="177" spans="1:14" x14ac:dyDescent="0.35">
      <c r="A177" s="4" t="s">
        <v>275</v>
      </c>
      <c r="B177" s="3" t="s">
        <v>342</v>
      </c>
      <c r="C177" s="3" t="s">
        <v>318</v>
      </c>
      <c r="D177" s="8">
        <v>49.15</v>
      </c>
      <c r="E177" s="8">
        <v>-125.916667</v>
      </c>
      <c r="F177" s="3">
        <v>1905</v>
      </c>
      <c r="G177" s="3">
        <v>2012</v>
      </c>
      <c r="H177" s="5">
        <f t="shared" si="0"/>
        <v>93</v>
      </c>
      <c r="I177" s="3" t="s">
        <v>739</v>
      </c>
      <c r="J177" s="5">
        <v>15</v>
      </c>
      <c r="K177" s="12" t="s">
        <v>278</v>
      </c>
      <c r="L177" s="3" t="s">
        <v>10</v>
      </c>
      <c r="M177" s="3" t="s">
        <v>279</v>
      </c>
      <c r="N177" s="6" t="s">
        <v>280</v>
      </c>
    </row>
    <row r="178" spans="1:14" x14ac:dyDescent="0.35">
      <c r="A178" s="4" t="s">
        <v>275</v>
      </c>
      <c r="B178" s="3" t="s">
        <v>343</v>
      </c>
      <c r="C178" s="3" t="s">
        <v>318</v>
      </c>
      <c r="D178" s="8">
        <v>48.416666999999997</v>
      </c>
      <c r="E178" s="8">
        <v>-123.36666700000001</v>
      </c>
      <c r="F178" s="3">
        <v>1891</v>
      </c>
      <c r="G178" s="3">
        <v>2012</v>
      </c>
      <c r="H178" s="5">
        <f t="shared" si="0"/>
        <v>106</v>
      </c>
      <c r="I178" s="3" t="s">
        <v>739</v>
      </c>
      <c r="J178" s="5">
        <v>16</v>
      </c>
      <c r="K178" s="12" t="s">
        <v>278</v>
      </c>
      <c r="L178" s="3" t="s">
        <v>10</v>
      </c>
      <c r="M178" s="3" t="s">
        <v>279</v>
      </c>
      <c r="N178" s="6" t="s">
        <v>280</v>
      </c>
    </row>
    <row r="179" spans="1:14" x14ac:dyDescent="0.35">
      <c r="A179" s="4" t="s">
        <v>275</v>
      </c>
      <c r="B179" s="3" t="s">
        <v>118</v>
      </c>
      <c r="C179" s="3" t="s">
        <v>84</v>
      </c>
      <c r="D179" s="8">
        <v>9.35</v>
      </c>
      <c r="E179" s="8">
        <v>-79.916667000000004</v>
      </c>
      <c r="F179" s="3">
        <v>1907</v>
      </c>
      <c r="G179" s="3">
        <v>2012</v>
      </c>
      <c r="H179" s="5">
        <f t="shared" si="0"/>
        <v>103</v>
      </c>
      <c r="I179" s="3" t="s">
        <v>739</v>
      </c>
      <c r="J179" s="5">
        <v>3</v>
      </c>
      <c r="K179" s="12" t="s">
        <v>278</v>
      </c>
      <c r="L179" s="3" t="s">
        <v>10</v>
      </c>
      <c r="M179" s="3" t="s">
        <v>279</v>
      </c>
      <c r="N179" s="6" t="s">
        <v>280</v>
      </c>
    </row>
    <row r="180" spans="1:14" x14ac:dyDescent="0.35">
      <c r="A180" s="4" t="s">
        <v>275</v>
      </c>
      <c r="B180" s="3" t="s">
        <v>344</v>
      </c>
      <c r="C180" s="3" t="s">
        <v>282</v>
      </c>
      <c r="D180" s="8">
        <v>61.594383000000001</v>
      </c>
      <c r="E180" s="8">
        <v>21.463432999999998</v>
      </c>
      <c r="F180" s="3">
        <v>1889</v>
      </c>
      <c r="G180" s="3">
        <v>2012</v>
      </c>
      <c r="H180" s="5">
        <f t="shared" si="0"/>
        <v>120</v>
      </c>
      <c r="I180" s="3" t="s">
        <v>739</v>
      </c>
      <c r="J180" s="5">
        <v>4</v>
      </c>
      <c r="K180" s="12" t="s">
        <v>278</v>
      </c>
      <c r="L180" s="3" t="s">
        <v>10</v>
      </c>
      <c r="M180" s="3" t="s">
        <v>279</v>
      </c>
      <c r="N180" s="6" t="s">
        <v>280</v>
      </c>
    </row>
    <row r="181" spans="1:14" x14ac:dyDescent="0.35">
      <c r="A181" s="4" t="s">
        <v>275</v>
      </c>
      <c r="B181" s="3" t="s">
        <v>345</v>
      </c>
      <c r="C181" s="3" t="s">
        <v>318</v>
      </c>
      <c r="D181" s="8">
        <v>46.833333000000003</v>
      </c>
      <c r="E181" s="8">
        <v>-71.166667000000004</v>
      </c>
      <c r="F181" s="3">
        <v>1895</v>
      </c>
      <c r="G181" s="3">
        <v>2011</v>
      </c>
      <c r="H181" s="5">
        <f t="shared" si="0"/>
        <v>95</v>
      </c>
      <c r="I181" s="3" t="s">
        <v>739</v>
      </c>
      <c r="J181" s="5">
        <v>22</v>
      </c>
      <c r="K181" s="12" t="s">
        <v>278</v>
      </c>
      <c r="L181" s="3" t="s">
        <v>10</v>
      </c>
      <c r="M181" s="3" t="s">
        <v>279</v>
      </c>
      <c r="N181" s="6" t="s">
        <v>280</v>
      </c>
    </row>
    <row r="182" spans="1:14" x14ac:dyDescent="0.35">
      <c r="A182" s="4" t="s">
        <v>275</v>
      </c>
      <c r="B182" s="3" t="s">
        <v>346</v>
      </c>
      <c r="C182" s="3" t="s">
        <v>318</v>
      </c>
      <c r="D182" s="8">
        <v>49.283332999999999</v>
      </c>
      <c r="E182" s="8">
        <v>-123.11666700000001</v>
      </c>
      <c r="F182" s="3">
        <v>1895</v>
      </c>
      <c r="G182" s="3">
        <v>2012</v>
      </c>
      <c r="H182" s="5">
        <f t="shared" si="0"/>
        <v>94</v>
      </c>
      <c r="I182" s="3" t="s">
        <v>739</v>
      </c>
      <c r="J182" s="5">
        <v>24</v>
      </c>
      <c r="K182" s="12" t="s">
        <v>278</v>
      </c>
      <c r="L182" s="3" t="s">
        <v>10</v>
      </c>
      <c r="M182" s="3" t="s">
        <v>279</v>
      </c>
      <c r="N182" s="6" t="s">
        <v>280</v>
      </c>
    </row>
    <row r="183" spans="1:14" x14ac:dyDescent="0.35">
      <c r="A183" s="4" t="s">
        <v>275</v>
      </c>
      <c r="B183" s="3" t="s">
        <v>347</v>
      </c>
      <c r="C183" s="3" t="s">
        <v>66</v>
      </c>
      <c r="D183" s="8">
        <v>58.353611000000001</v>
      </c>
      <c r="E183" s="8">
        <v>11.217777999999999</v>
      </c>
      <c r="F183" s="3">
        <v>1895</v>
      </c>
      <c r="G183" s="3">
        <v>2012</v>
      </c>
      <c r="H183" s="5">
        <f t="shared" si="0"/>
        <v>118</v>
      </c>
      <c r="I183" s="3" t="s">
        <v>739</v>
      </c>
      <c r="J183" s="5">
        <v>0</v>
      </c>
      <c r="K183" s="12" t="s">
        <v>278</v>
      </c>
      <c r="L183" s="3" t="s">
        <v>10</v>
      </c>
      <c r="M183" s="3" t="s">
        <v>279</v>
      </c>
      <c r="N183" s="6" t="s">
        <v>280</v>
      </c>
    </row>
    <row r="184" spans="1:14" x14ac:dyDescent="0.35">
      <c r="A184" s="4" t="s">
        <v>275</v>
      </c>
      <c r="B184" s="3" t="s">
        <v>30</v>
      </c>
      <c r="C184" s="3" t="s">
        <v>31</v>
      </c>
      <c r="D184" s="8">
        <v>24.555</v>
      </c>
      <c r="E184" s="9">
        <v>-81.806667000000004</v>
      </c>
      <c r="F184" s="3">
        <v>1846</v>
      </c>
      <c r="G184" s="3">
        <v>2012</v>
      </c>
      <c r="H184" s="5">
        <f t="shared" si="0"/>
        <v>108</v>
      </c>
      <c r="I184" s="3" t="s">
        <v>739</v>
      </c>
      <c r="J184" s="5">
        <v>59</v>
      </c>
      <c r="K184" s="12" t="s">
        <v>278</v>
      </c>
      <c r="L184" s="3" t="s">
        <v>10</v>
      </c>
      <c r="M184" s="3" t="s">
        <v>279</v>
      </c>
      <c r="N184" s="6" t="s">
        <v>280</v>
      </c>
    </row>
    <row r="185" spans="1:14" x14ac:dyDescent="0.35">
      <c r="A185" s="4" t="s">
        <v>275</v>
      </c>
      <c r="B185" s="3" t="s">
        <v>348</v>
      </c>
      <c r="C185" s="3" t="s">
        <v>282</v>
      </c>
      <c r="D185" s="8">
        <v>63.708567000000002</v>
      </c>
      <c r="E185" s="8">
        <v>22.689582999999999</v>
      </c>
      <c r="F185" s="3">
        <v>1889</v>
      </c>
      <c r="G185" s="3">
        <v>2012</v>
      </c>
      <c r="H185" s="5">
        <f t="shared" si="0"/>
        <v>119</v>
      </c>
      <c r="I185" s="3" t="s">
        <v>739</v>
      </c>
      <c r="J185" s="5">
        <v>5</v>
      </c>
      <c r="K185" s="12" t="s">
        <v>278</v>
      </c>
      <c r="L185" s="3" t="s">
        <v>10</v>
      </c>
      <c r="M185" s="3" t="s">
        <v>279</v>
      </c>
      <c r="N185" s="6" t="s">
        <v>280</v>
      </c>
    </row>
    <row r="186" spans="1:14" x14ac:dyDescent="0.35">
      <c r="A186" s="4" t="s">
        <v>275</v>
      </c>
      <c r="B186" s="3" t="s">
        <v>349</v>
      </c>
      <c r="C186" s="3" t="s">
        <v>318</v>
      </c>
      <c r="D186" s="8">
        <v>45.266666999999998</v>
      </c>
      <c r="E186" s="8">
        <v>-66.066666999999995</v>
      </c>
      <c r="F186" s="3">
        <v>1895</v>
      </c>
      <c r="G186" s="3">
        <v>2012</v>
      </c>
      <c r="H186" s="5">
        <f t="shared" si="0"/>
        <v>89</v>
      </c>
      <c r="I186" s="3" t="s">
        <v>739</v>
      </c>
      <c r="J186" s="5">
        <v>29</v>
      </c>
      <c r="K186" s="12" t="s">
        <v>278</v>
      </c>
      <c r="L186" s="3" t="s">
        <v>10</v>
      </c>
      <c r="M186" s="3" t="s">
        <v>279</v>
      </c>
      <c r="N186" s="6" t="s">
        <v>280</v>
      </c>
    </row>
    <row r="187" spans="1:14" x14ac:dyDescent="0.35">
      <c r="A187" s="4" t="s">
        <v>275</v>
      </c>
      <c r="B187" s="3" t="s">
        <v>350</v>
      </c>
      <c r="C187" s="3" t="s">
        <v>66</v>
      </c>
      <c r="D187" s="8">
        <v>64.915833000000006</v>
      </c>
      <c r="E187" s="8">
        <v>21.230556</v>
      </c>
      <c r="F187" s="3">
        <v>1892</v>
      </c>
      <c r="G187" s="3">
        <v>2012</v>
      </c>
      <c r="H187" s="5">
        <f t="shared" si="0"/>
        <v>119</v>
      </c>
      <c r="I187" s="3" t="s">
        <v>739</v>
      </c>
      <c r="J187" s="5">
        <v>2</v>
      </c>
      <c r="K187" s="12" t="s">
        <v>278</v>
      </c>
      <c r="L187" s="3" t="s">
        <v>10</v>
      </c>
      <c r="M187" s="3" t="s">
        <v>279</v>
      </c>
      <c r="N187" s="6" t="s">
        <v>280</v>
      </c>
    </row>
    <row r="188" spans="1:14" x14ac:dyDescent="0.35">
      <c r="A188" s="4" t="s">
        <v>275</v>
      </c>
      <c r="B188" s="3" t="s">
        <v>351</v>
      </c>
      <c r="C188" s="3" t="s">
        <v>352</v>
      </c>
      <c r="D188" s="8">
        <v>24.811667</v>
      </c>
      <c r="E188" s="8">
        <v>66.974999999999994</v>
      </c>
      <c r="F188" s="3">
        <v>1855</v>
      </c>
      <c r="G188" s="3">
        <v>2012</v>
      </c>
      <c r="H188" s="5">
        <f t="shared" si="0"/>
        <v>121</v>
      </c>
      <c r="I188" s="3" t="s">
        <v>739</v>
      </c>
      <c r="J188" s="5">
        <v>37</v>
      </c>
      <c r="K188" s="12" t="s">
        <v>278</v>
      </c>
      <c r="L188" s="3" t="s">
        <v>10</v>
      </c>
      <c r="M188" s="3" t="s">
        <v>279</v>
      </c>
      <c r="N188" s="6" t="s">
        <v>280</v>
      </c>
    </row>
    <row r="189" spans="1:14" x14ac:dyDescent="0.35">
      <c r="A189" s="4" t="s">
        <v>275</v>
      </c>
      <c r="B189" s="3" t="s">
        <v>353</v>
      </c>
      <c r="C189" s="3" t="s">
        <v>298</v>
      </c>
      <c r="D189" s="8">
        <v>13.1</v>
      </c>
      <c r="E189" s="8">
        <v>80.3</v>
      </c>
      <c r="F189" s="3">
        <v>1880</v>
      </c>
      <c r="G189" s="3">
        <v>2012</v>
      </c>
      <c r="H189" s="5">
        <f t="shared" si="0"/>
        <v>79</v>
      </c>
      <c r="I189" s="3" t="s">
        <v>739</v>
      </c>
      <c r="J189" s="5">
        <v>54</v>
      </c>
      <c r="K189" s="12" t="s">
        <v>278</v>
      </c>
      <c r="L189" s="3" t="s">
        <v>10</v>
      </c>
      <c r="M189" s="3" t="s">
        <v>279</v>
      </c>
      <c r="N189" s="6" t="s">
        <v>280</v>
      </c>
    </row>
    <row r="190" spans="1:14" x14ac:dyDescent="0.35">
      <c r="A190" s="4" t="s">
        <v>275</v>
      </c>
      <c r="B190" s="3" t="s">
        <v>354</v>
      </c>
      <c r="C190" s="3" t="s">
        <v>355</v>
      </c>
      <c r="D190" s="9">
        <v>-38.583333000000003</v>
      </c>
      <c r="E190" s="8">
        <v>-58.7</v>
      </c>
      <c r="F190" s="3">
        <v>1912</v>
      </c>
      <c r="G190" s="3">
        <v>2012</v>
      </c>
      <c r="H190" s="5">
        <f t="shared" si="0"/>
        <v>96</v>
      </c>
      <c r="I190" s="3" t="s">
        <v>739</v>
      </c>
      <c r="J190" s="5">
        <v>5</v>
      </c>
      <c r="K190" s="12" t="s">
        <v>278</v>
      </c>
      <c r="L190" s="3" t="s">
        <v>10</v>
      </c>
      <c r="M190" s="3" t="s">
        <v>279</v>
      </c>
      <c r="N190" s="6" t="s">
        <v>280</v>
      </c>
    </row>
    <row r="191" spans="1:14" x14ac:dyDescent="0.35">
      <c r="A191" s="4" t="s">
        <v>275</v>
      </c>
      <c r="B191" s="3" t="s">
        <v>356</v>
      </c>
      <c r="C191" s="3" t="s">
        <v>31</v>
      </c>
      <c r="D191" s="8">
        <v>55.331667000000003</v>
      </c>
      <c r="E191" s="8">
        <v>-131.625</v>
      </c>
      <c r="F191" s="3">
        <v>1909</v>
      </c>
      <c r="G191" s="3">
        <v>2012</v>
      </c>
      <c r="H191" s="5">
        <f t="shared" si="0"/>
        <v>102</v>
      </c>
      <c r="I191" s="3" t="s">
        <v>739</v>
      </c>
      <c r="J191" s="5">
        <v>2</v>
      </c>
      <c r="K191" s="12" t="s">
        <v>278</v>
      </c>
      <c r="L191" s="3" t="s">
        <v>10</v>
      </c>
      <c r="M191" s="3" t="s">
        <v>279</v>
      </c>
      <c r="N191" s="6" t="s">
        <v>280</v>
      </c>
    </row>
    <row r="192" spans="1:14" x14ac:dyDescent="0.35">
      <c r="A192" s="4" t="s">
        <v>275</v>
      </c>
      <c r="B192" s="3" t="s">
        <v>357</v>
      </c>
      <c r="C192" s="3" t="s">
        <v>358</v>
      </c>
      <c r="D192" s="8">
        <v>60.031883000000001</v>
      </c>
      <c r="E192" s="8">
        <v>20.384817000000002</v>
      </c>
      <c r="F192" s="3">
        <v>1866</v>
      </c>
      <c r="G192" s="3">
        <v>2011</v>
      </c>
      <c r="H192" s="5">
        <f t="shared" si="0"/>
        <v>138</v>
      </c>
      <c r="I192" s="3" t="s">
        <v>739</v>
      </c>
      <c r="J192" s="5">
        <v>8</v>
      </c>
      <c r="K192" s="12" t="s">
        <v>278</v>
      </c>
      <c r="L192" s="3" t="s">
        <v>10</v>
      </c>
      <c r="M192" s="3" t="s">
        <v>279</v>
      </c>
      <c r="N192" s="6" t="s">
        <v>280</v>
      </c>
    </row>
    <row r="193" spans="1:14" x14ac:dyDescent="0.35">
      <c r="A193" s="4" t="s">
        <v>275</v>
      </c>
      <c r="B193" s="3" t="s">
        <v>359</v>
      </c>
      <c r="C193" s="3" t="s">
        <v>130</v>
      </c>
      <c r="D193" s="8">
        <v>-43.605629999999998</v>
      </c>
      <c r="E193" s="8">
        <v>172.72193999999999</v>
      </c>
      <c r="F193" s="3">
        <v>1900</v>
      </c>
      <c r="G193" s="3">
        <v>2011</v>
      </c>
      <c r="H193" s="5">
        <f t="shared" si="0"/>
        <v>73</v>
      </c>
      <c r="I193" s="3" t="s">
        <v>739</v>
      </c>
      <c r="J193" s="5">
        <v>39</v>
      </c>
      <c r="K193" s="12" t="s">
        <v>278</v>
      </c>
      <c r="L193" s="3" t="s">
        <v>10</v>
      </c>
      <c r="M193" s="3" t="s">
        <v>279</v>
      </c>
      <c r="N193" s="6" t="s">
        <v>280</v>
      </c>
    </row>
    <row r="194" spans="1:14" x14ac:dyDescent="0.35">
      <c r="A194" s="4" t="s">
        <v>275</v>
      </c>
      <c r="B194" s="3" t="s">
        <v>360</v>
      </c>
      <c r="C194" s="3" t="s">
        <v>302</v>
      </c>
      <c r="D194" s="8">
        <v>68.428286</v>
      </c>
      <c r="E194" s="8">
        <v>17.425758999999999</v>
      </c>
      <c r="F194" s="3">
        <v>1929</v>
      </c>
      <c r="G194" s="3">
        <v>2012</v>
      </c>
      <c r="H194" s="5">
        <f t="shared" si="0"/>
        <v>71</v>
      </c>
      <c r="I194" s="3" t="s">
        <v>739</v>
      </c>
      <c r="J194" s="5">
        <v>13</v>
      </c>
      <c r="K194" s="12" t="s">
        <v>278</v>
      </c>
      <c r="L194" s="3" t="s">
        <v>10</v>
      </c>
      <c r="M194" s="3" t="s">
        <v>279</v>
      </c>
      <c r="N194" s="6" t="s">
        <v>280</v>
      </c>
    </row>
    <row r="195" spans="1:14" x14ac:dyDescent="0.35">
      <c r="A195" s="4" t="s">
        <v>275</v>
      </c>
      <c r="B195" s="3" t="s">
        <v>361</v>
      </c>
      <c r="C195" s="3" t="s">
        <v>282</v>
      </c>
      <c r="D195" s="8">
        <v>60.562767000000001</v>
      </c>
      <c r="E195" s="8">
        <v>27.179200000000002</v>
      </c>
      <c r="F195" s="3">
        <v>1889</v>
      </c>
      <c r="G195" s="3">
        <v>2011</v>
      </c>
      <c r="H195" s="5">
        <f t="shared" si="0"/>
        <v>119</v>
      </c>
      <c r="I195" s="3" t="s">
        <v>739</v>
      </c>
      <c r="J195" s="5">
        <v>4</v>
      </c>
      <c r="K195" s="12" t="s">
        <v>278</v>
      </c>
      <c r="L195" s="3" t="s">
        <v>10</v>
      </c>
      <c r="M195" s="3" t="s">
        <v>279</v>
      </c>
      <c r="N195" s="6" t="s">
        <v>280</v>
      </c>
    </row>
    <row r="196" spans="1:14" x14ac:dyDescent="0.35">
      <c r="A196" s="4" t="s">
        <v>275</v>
      </c>
      <c r="B196" s="3" t="s">
        <v>362</v>
      </c>
      <c r="C196" s="3" t="s">
        <v>363</v>
      </c>
      <c r="D196" s="8">
        <v>59.45</v>
      </c>
      <c r="E196" s="8">
        <v>24.8</v>
      </c>
      <c r="F196" s="3">
        <v>1842</v>
      </c>
      <c r="G196" s="3">
        <v>1995</v>
      </c>
      <c r="H196" s="5">
        <f t="shared" si="0"/>
        <v>141</v>
      </c>
      <c r="I196" s="3" t="s">
        <v>739</v>
      </c>
      <c r="J196" s="5">
        <v>13</v>
      </c>
      <c r="K196" s="12" t="s">
        <v>278</v>
      </c>
      <c r="L196" s="3" t="s">
        <v>10</v>
      </c>
      <c r="M196" s="3" t="s">
        <v>279</v>
      </c>
      <c r="N196" s="6" t="s">
        <v>280</v>
      </c>
    </row>
    <row r="197" spans="1:14" x14ac:dyDescent="0.35">
      <c r="A197" s="4" t="s">
        <v>275</v>
      </c>
      <c r="B197" s="3" t="s">
        <v>364</v>
      </c>
      <c r="C197" s="3" t="s">
        <v>365</v>
      </c>
      <c r="D197" s="8">
        <v>51.233333000000002</v>
      </c>
      <c r="E197" s="8">
        <v>2.9166669999999999</v>
      </c>
      <c r="F197" s="3">
        <v>1835</v>
      </c>
      <c r="G197" s="3">
        <v>2012</v>
      </c>
      <c r="H197" s="5">
        <f t="shared" si="0"/>
        <v>97</v>
      </c>
      <c r="I197" s="3" t="s">
        <v>739</v>
      </c>
      <c r="J197" s="5">
        <v>81</v>
      </c>
      <c r="K197" s="12" t="s">
        <v>278</v>
      </c>
      <c r="L197" s="3" t="s">
        <v>10</v>
      </c>
      <c r="M197" s="3" t="s">
        <v>279</v>
      </c>
      <c r="N197" s="6" t="s">
        <v>280</v>
      </c>
    </row>
    <row r="198" spans="1:14" x14ac:dyDescent="0.35">
      <c r="A198" s="4" t="s">
        <v>275</v>
      </c>
      <c r="B198" s="3" t="s">
        <v>366</v>
      </c>
      <c r="C198" s="3" t="s">
        <v>298</v>
      </c>
      <c r="D198" s="8">
        <v>17.683333000000001</v>
      </c>
      <c r="E198" s="8">
        <v>83.283332999999999</v>
      </c>
      <c r="F198" s="3">
        <v>1879</v>
      </c>
      <c r="G198" s="3">
        <v>2005</v>
      </c>
      <c r="H198" s="5">
        <f t="shared" si="0"/>
        <v>60</v>
      </c>
      <c r="I198" s="3" t="s">
        <v>739</v>
      </c>
      <c r="J198" s="5">
        <v>67</v>
      </c>
      <c r="K198" s="12" t="s">
        <v>278</v>
      </c>
      <c r="L198" s="3" t="s">
        <v>10</v>
      </c>
      <c r="M198" s="3" t="s">
        <v>279</v>
      </c>
      <c r="N198" s="6" t="s">
        <v>280</v>
      </c>
    </row>
    <row r="199" spans="1:14" x14ac:dyDescent="0.35">
      <c r="A199" s="4" t="s">
        <v>275</v>
      </c>
      <c r="B199" s="3" t="s">
        <v>367</v>
      </c>
      <c r="C199" s="3" t="s">
        <v>298</v>
      </c>
      <c r="D199" s="8">
        <v>9.9666669999999993</v>
      </c>
      <c r="E199" s="8">
        <v>76.266666999999998</v>
      </c>
      <c r="F199" s="3">
        <v>1886</v>
      </c>
      <c r="G199" s="3">
        <v>2012</v>
      </c>
      <c r="H199" s="5">
        <f t="shared" si="0"/>
        <v>63</v>
      </c>
      <c r="I199" s="3" t="s">
        <v>739</v>
      </c>
      <c r="J199" s="5">
        <v>64</v>
      </c>
      <c r="K199" s="12" t="s">
        <v>278</v>
      </c>
      <c r="L199" s="3" t="s">
        <v>10</v>
      </c>
      <c r="M199" s="3" t="s">
        <v>279</v>
      </c>
      <c r="N199" s="6" t="s">
        <v>280</v>
      </c>
    </row>
    <row r="200" spans="1:14" x14ac:dyDescent="0.35">
      <c r="A200" s="4" t="s">
        <v>275</v>
      </c>
      <c r="B200" s="3" t="s">
        <v>368</v>
      </c>
      <c r="C200" s="3" t="s">
        <v>71</v>
      </c>
      <c r="D200" s="8">
        <v>-34.779761000000001</v>
      </c>
      <c r="E200" s="8">
        <v>138.480728</v>
      </c>
      <c r="F200" s="3">
        <v>1882</v>
      </c>
      <c r="G200" s="3">
        <v>2012</v>
      </c>
      <c r="H200" s="5">
        <f t="shared" si="0"/>
        <v>107</v>
      </c>
      <c r="I200" s="3" t="s">
        <v>739</v>
      </c>
      <c r="J200" s="5">
        <v>24</v>
      </c>
      <c r="K200" s="12" t="s">
        <v>278</v>
      </c>
      <c r="L200" s="3" t="s">
        <v>10</v>
      </c>
      <c r="M200" s="3" t="s">
        <v>279</v>
      </c>
      <c r="N200" s="6" t="s">
        <v>280</v>
      </c>
    </row>
    <row r="201" spans="1:14" x14ac:dyDescent="0.35">
      <c r="A201" s="4" t="s">
        <v>275</v>
      </c>
      <c r="B201" s="3" t="s">
        <v>369</v>
      </c>
      <c r="C201" s="3" t="s">
        <v>277</v>
      </c>
      <c r="D201" s="8">
        <v>54.183332999999998</v>
      </c>
      <c r="E201" s="8">
        <v>15.55</v>
      </c>
      <c r="F201" s="3">
        <v>1811</v>
      </c>
      <c r="G201" s="3">
        <v>2011</v>
      </c>
      <c r="H201" s="5">
        <f t="shared" si="0"/>
        <v>187</v>
      </c>
      <c r="I201" s="3" t="s">
        <v>739</v>
      </c>
      <c r="J201" s="5">
        <v>14</v>
      </c>
      <c r="K201" s="12" t="s">
        <v>278</v>
      </c>
      <c r="L201" s="3" t="s">
        <v>10</v>
      </c>
      <c r="M201" s="3" t="s">
        <v>279</v>
      </c>
      <c r="N201" s="6" t="s">
        <v>280</v>
      </c>
    </row>
    <row r="202" spans="1:14" x14ac:dyDescent="0.35">
      <c r="A202" s="4" t="s">
        <v>275</v>
      </c>
      <c r="B202" s="3" t="s">
        <v>370</v>
      </c>
      <c r="C202" s="3" t="s">
        <v>71</v>
      </c>
      <c r="D202" s="8">
        <v>-32.923999999999999</v>
      </c>
      <c r="E202" s="8">
        <v>151.78858299999999</v>
      </c>
      <c r="F202" s="3">
        <v>1890</v>
      </c>
      <c r="G202" s="3">
        <v>2012</v>
      </c>
      <c r="H202" s="5">
        <f t="shared" si="0"/>
        <v>114</v>
      </c>
      <c r="I202" s="3" t="s">
        <v>739</v>
      </c>
      <c r="J202" s="5">
        <v>9</v>
      </c>
      <c r="K202" s="12" t="s">
        <v>278</v>
      </c>
      <c r="L202" s="3" t="s">
        <v>10</v>
      </c>
      <c r="M202" s="3" t="s">
        <v>279</v>
      </c>
      <c r="N202" s="6" t="s">
        <v>280</v>
      </c>
    </row>
    <row r="203" spans="1:14" x14ac:dyDescent="0.35">
      <c r="A203" s="4" t="s">
        <v>275</v>
      </c>
      <c r="B203" s="3" t="s">
        <v>371</v>
      </c>
      <c r="C203" s="3" t="s">
        <v>60</v>
      </c>
      <c r="D203" s="8">
        <v>69.2</v>
      </c>
      <c r="E203" s="8">
        <v>33.4833</v>
      </c>
      <c r="F203" s="3">
        <v>1906</v>
      </c>
      <c r="G203" s="3">
        <v>2012</v>
      </c>
      <c r="H203" s="5">
        <f t="shared" si="0"/>
        <v>82</v>
      </c>
      <c r="I203" s="3" t="s">
        <v>739</v>
      </c>
      <c r="J203" s="5">
        <v>25</v>
      </c>
      <c r="K203" s="12" t="s">
        <v>278</v>
      </c>
      <c r="L203" s="3" t="s">
        <v>10</v>
      </c>
      <c r="M203" s="3" t="s">
        <v>279</v>
      </c>
      <c r="N203" s="6" t="s">
        <v>280</v>
      </c>
    </row>
    <row r="204" spans="1:14" x14ac:dyDescent="0.35">
      <c r="A204" s="4" t="s">
        <v>275</v>
      </c>
      <c r="B204" s="3" t="s">
        <v>372</v>
      </c>
      <c r="C204" s="3" t="s">
        <v>66</v>
      </c>
      <c r="D204" s="8">
        <v>59.316667000000002</v>
      </c>
      <c r="E204" s="8">
        <v>18.083333</v>
      </c>
      <c r="F204" s="3">
        <v>1806</v>
      </c>
      <c r="G204" s="3">
        <v>1967</v>
      </c>
      <c r="H204" s="5">
        <f t="shared" si="0"/>
        <v>132</v>
      </c>
      <c r="I204" s="3" t="s">
        <v>739</v>
      </c>
      <c r="J204" s="5">
        <v>30</v>
      </c>
      <c r="K204" s="12" t="s">
        <v>278</v>
      </c>
      <c r="L204" s="3" t="s">
        <v>10</v>
      </c>
      <c r="M204" s="3" t="s">
        <v>279</v>
      </c>
      <c r="N204" s="6" t="s">
        <v>280</v>
      </c>
    </row>
    <row r="205" spans="1:14" x14ac:dyDescent="0.35">
      <c r="A205" s="4" t="s">
        <v>275</v>
      </c>
      <c r="B205" s="3" t="s">
        <v>373</v>
      </c>
      <c r="C205" s="3" t="s">
        <v>66</v>
      </c>
      <c r="D205" s="8">
        <v>57.716667000000001</v>
      </c>
      <c r="E205" s="8">
        <v>11.966666999999999</v>
      </c>
      <c r="F205" s="3">
        <v>1887</v>
      </c>
      <c r="G205" s="3">
        <v>2012</v>
      </c>
      <c r="H205" s="5">
        <f t="shared" si="0"/>
        <v>125</v>
      </c>
      <c r="I205" s="3" t="s">
        <v>739</v>
      </c>
      <c r="J205" s="5">
        <v>1</v>
      </c>
      <c r="K205" s="12" t="s">
        <v>278</v>
      </c>
      <c r="L205" s="3" t="s">
        <v>10</v>
      </c>
      <c r="M205" s="3" t="s">
        <v>279</v>
      </c>
      <c r="N205" s="6" t="s">
        <v>280</v>
      </c>
    </row>
    <row r="206" spans="1:14" x14ac:dyDescent="0.35">
      <c r="A206" s="4" t="s">
        <v>275</v>
      </c>
      <c r="B206" s="3" t="s">
        <v>374</v>
      </c>
      <c r="C206" s="3" t="s">
        <v>14</v>
      </c>
      <c r="D206" s="8">
        <v>51.440815000000001</v>
      </c>
      <c r="E206" s="8">
        <v>4.006945</v>
      </c>
      <c r="F206" s="3">
        <v>1862</v>
      </c>
      <c r="G206" s="3">
        <v>2008</v>
      </c>
      <c r="H206" s="5">
        <f t="shared" si="0"/>
        <v>147</v>
      </c>
      <c r="I206" s="3" t="s">
        <v>739</v>
      </c>
      <c r="J206" s="5">
        <v>0</v>
      </c>
      <c r="K206" s="12" t="s">
        <v>278</v>
      </c>
      <c r="L206" s="3" t="s">
        <v>10</v>
      </c>
      <c r="M206" s="3" t="s">
        <v>279</v>
      </c>
      <c r="N206" s="6" t="s">
        <v>280</v>
      </c>
    </row>
    <row r="207" spans="1:14" x14ac:dyDescent="0.35">
      <c r="A207" s="4" t="s">
        <v>275</v>
      </c>
      <c r="B207" s="3" t="s">
        <v>375</v>
      </c>
      <c r="C207" s="3" t="s">
        <v>14</v>
      </c>
      <c r="D207" s="8">
        <v>51.342849000000001</v>
      </c>
      <c r="E207" s="8">
        <v>3.8181210000000001</v>
      </c>
      <c r="F207" s="3">
        <v>1862</v>
      </c>
      <c r="G207" s="3">
        <v>2008</v>
      </c>
      <c r="H207" s="5">
        <f t="shared" si="0"/>
        <v>147</v>
      </c>
      <c r="I207" s="3" t="s">
        <v>739</v>
      </c>
      <c r="J207" s="5">
        <v>0</v>
      </c>
      <c r="K207" s="12" t="s">
        <v>278</v>
      </c>
      <c r="L207" s="3" t="s">
        <v>10</v>
      </c>
      <c r="M207" s="3" t="s">
        <v>279</v>
      </c>
      <c r="N207" s="6" t="s">
        <v>280</v>
      </c>
    </row>
    <row r="208" spans="1:14" x14ac:dyDescent="0.35">
      <c r="A208" s="4" t="s">
        <v>376</v>
      </c>
      <c r="B208" s="3" t="s">
        <v>377</v>
      </c>
      <c r="C208" s="3" t="s">
        <v>53</v>
      </c>
      <c r="D208" s="5">
        <v>54.605437999999999</v>
      </c>
      <c r="E208" s="5">
        <v>-5.9197730000000002</v>
      </c>
      <c r="F208" s="3">
        <v>1901</v>
      </c>
      <c r="G208" s="3">
        <v>1957</v>
      </c>
      <c r="H208" s="5">
        <f t="shared" ref="H208:H271" si="1">(1+(G208-F208))-J208</f>
        <v>57</v>
      </c>
      <c r="I208" s="3" t="s">
        <v>16</v>
      </c>
      <c r="J208" s="5">
        <v>0</v>
      </c>
      <c r="K208" s="3" t="s">
        <v>744</v>
      </c>
      <c r="L208" s="3" t="s">
        <v>378</v>
      </c>
      <c r="M208" s="3" t="s">
        <v>379</v>
      </c>
      <c r="N208" s="6" t="s">
        <v>380</v>
      </c>
    </row>
    <row r="209" spans="1:14" x14ac:dyDescent="0.35">
      <c r="A209" s="4" t="s">
        <v>376</v>
      </c>
      <c r="B209" s="3" t="s">
        <v>381</v>
      </c>
      <c r="C209" s="3" t="s">
        <v>53</v>
      </c>
      <c r="D209" s="5">
        <v>54.613191999999998</v>
      </c>
      <c r="E209" s="5">
        <v>-5.9129149999999999</v>
      </c>
      <c r="F209" s="3">
        <v>1957</v>
      </c>
      <c r="G209" s="3">
        <v>1972</v>
      </c>
      <c r="H209" s="5">
        <f t="shared" si="1"/>
        <v>16</v>
      </c>
      <c r="I209" s="3" t="s">
        <v>16</v>
      </c>
      <c r="J209" s="5">
        <v>0</v>
      </c>
      <c r="K209" s="3" t="s">
        <v>744</v>
      </c>
      <c r="L209" s="3" t="s">
        <v>378</v>
      </c>
      <c r="M209" s="3" t="s">
        <v>379</v>
      </c>
      <c r="N209" s="6" t="s">
        <v>380</v>
      </c>
    </row>
    <row r="210" spans="1:14" x14ac:dyDescent="0.35">
      <c r="A210" s="4" t="s">
        <v>376</v>
      </c>
      <c r="B210" s="3" t="s">
        <v>382</v>
      </c>
      <c r="C210" s="3" t="s">
        <v>53</v>
      </c>
      <c r="D210" s="5">
        <v>54.605567999999998</v>
      </c>
      <c r="E210" s="5">
        <v>-5.9202450000000004</v>
      </c>
      <c r="F210" s="3">
        <v>1972</v>
      </c>
      <c r="G210" s="3">
        <v>1986</v>
      </c>
      <c r="H210" s="5">
        <f t="shared" si="1"/>
        <v>15</v>
      </c>
      <c r="I210" s="3" t="s">
        <v>16</v>
      </c>
      <c r="J210" s="5">
        <v>0</v>
      </c>
      <c r="K210" s="3" t="s">
        <v>744</v>
      </c>
      <c r="L210" s="3" t="s">
        <v>378</v>
      </c>
      <c r="M210" s="3" t="s">
        <v>379</v>
      </c>
      <c r="N210" s="6" t="s">
        <v>380</v>
      </c>
    </row>
    <row r="211" spans="1:14" x14ac:dyDescent="0.35">
      <c r="A211" s="4" t="s">
        <v>376</v>
      </c>
      <c r="B211" s="3" t="s">
        <v>383</v>
      </c>
      <c r="C211" s="3" t="s">
        <v>53</v>
      </c>
      <c r="D211" s="5">
        <v>54.613162000000003</v>
      </c>
      <c r="E211" s="5">
        <v>-5.9111050000000001</v>
      </c>
      <c r="F211" s="3">
        <v>1987</v>
      </c>
      <c r="G211" s="3">
        <v>2001</v>
      </c>
      <c r="H211" s="5">
        <f t="shared" si="1"/>
        <v>15</v>
      </c>
      <c r="I211" s="3" t="s">
        <v>16</v>
      </c>
      <c r="J211" s="5">
        <v>0</v>
      </c>
      <c r="K211" s="3" t="s">
        <v>745</v>
      </c>
      <c r="L211" s="3" t="s">
        <v>378</v>
      </c>
      <c r="M211" s="3" t="s">
        <v>23</v>
      </c>
      <c r="N211" s="6" t="s">
        <v>380</v>
      </c>
    </row>
    <row r="212" spans="1:14" x14ac:dyDescent="0.35">
      <c r="A212" s="4" t="s">
        <v>384</v>
      </c>
      <c r="B212" s="3" t="s">
        <v>385</v>
      </c>
      <c r="C212" s="3" t="s">
        <v>94</v>
      </c>
      <c r="D212" s="5">
        <v>47.271256999999999</v>
      </c>
      <c r="E212" s="5">
        <v>-2.1969620000000001</v>
      </c>
      <c r="F212" s="3">
        <v>1821</v>
      </c>
      <c r="G212" s="3">
        <v>1925</v>
      </c>
      <c r="H212" s="5">
        <f t="shared" si="1"/>
        <v>63</v>
      </c>
      <c r="I212" s="11" t="s">
        <v>386</v>
      </c>
      <c r="J212" s="5">
        <v>42</v>
      </c>
      <c r="K212" s="3" t="s">
        <v>741</v>
      </c>
      <c r="L212" s="3" t="s">
        <v>10</v>
      </c>
      <c r="M212" s="3" t="s">
        <v>387</v>
      </c>
      <c r="N212" s="7" t="s">
        <v>388</v>
      </c>
    </row>
    <row r="213" spans="1:14" x14ac:dyDescent="0.35">
      <c r="A213" s="4" t="s">
        <v>384</v>
      </c>
      <c r="B213" s="3" t="s">
        <v>385</v>
      </c>
      <c r="C213" s="3" t="s">
        <v>94</v>
      </c>
      <c r="D213" s="5">
        <v>47.271256999999999</v>
      </c>
      <c r="E213" s="5">
        <v>-2.1969620000000001</v>
      </c>
      <c r="F213" s="3">
        <v>1932</v>
      </c>
      <c r="G213" s="3">
        <v>1964</v>
      </c>
      <c r="H213" s="5">
        <f t="shared" si="1"/>
        <v>23</v>
      </c>
      <c r="I213" s="11" t="s">
        <v>389</v>
      </c>
      <c r="J213" s="5">
        <v>10</v>
      </c>
      <c r="K213" s="3" t="s">
        <v>261</v>
      </c>
      <c r="L213" s="3" t="s">
        <v>390</v>
      </c>
      <c r="M213" s="3" t="s">
        <v>391</v>
      </c>
      <c r="N213" s="7" t="s">
        <v>388</v>
      </c>
    </row>
    <row r="214" spans="1:14" x14ac:dyDescent="0.35">
      <c r="A214" s="4" t="s">
        <v>392</v>
      </c>
      <c r="B214" s="3" t="s">
        <v>393</v>
      </c>
      <c r="C214" s="3" t="s">
        <v>31</v>
      </c>
      <c r="D214" s="5">
        <v>33.916406000000002</v>
      </c>
      <c r="E214" s="5">
        <v>-78.017474000000007</v>
      </c>
      <c r="F214" s="3">
        <v>1923</v>
      </c>
      <c r="G214" s="3">
        <v>1988</v>
      </c>
      <c r="H214" s="5">
        <f t="shared" si="1"/>
        <v>37</v>
      </c>
      <c r="I214" s="11" t="s">
        <v>394</v>
      </c>
      <c r="J214" s="5">
        <v>29</v>
      </c>
      <c r="K214" s="3" t="s">
        <v>741</v>
      </c>
      <c r="L214" s="3" t="s">
        <v>10</v>
      </c>
      <c r="M214" s="3" t="s">
        <v>23</v>
      </c>
      <c r="N214" s="21" t="s">
        <v>395</v>
      </c>
    </row>
    <row r="215" spans="1:14" x14ac:dyDescent="0.35">
      <c r="A215" s="4" t="s">
        <v>392</v>
      </c>
      <c r="B215" s="3" t="s">
        <v>396</v>
      </c>
      <c r="C215" s="3" t="s">
        <v>31</v>
      </c>
      <c r="D215" s="5">
        <v>34.226624999999999</v>
      </c>
      <c r="E215" s="5">
        <v>-77.953998999999996</v>
      </c>
      <c r="F215" s="3">
        <v>1887</v>
      </c>
      <c r="G215" s="3">
        <v>2015</v>
      </c>
      <c r="H215" s="5">
        <f t="shared" si="1"/>
        <v>90</v>
      </c>
      <c r="I215" s="11" t="s">
        <v>397</v>
      </c>
      <c r="J215" s="5">
        <f>17+22</f>
        <v>39</v>
      </c>
      <c r="K215" s="3" t="s">
        <v>743</v>
      </c>
      <c r="L215" s="3" t="s">
        <v>10</v>
      </c>
      <c r="M215" s="3" t="s">
        <v>23</v>
      </c>
      <c r="N215" s="21" t="s">
        <v>395</v>
      </c>
    </row>
    <row r="216" spans="1:14" x14ac:dyDescent="0.35">
      <c r="A216" s="4" t="s">
        <v>398</v>
      </c>
      <c r="B216" s="3" t="s">
        <v>399</v>
      </c>
      <c r="C216" s="3" t="s">
        <v>31</v>
      </c>
      <c r="D216" s="5">
        <v>44.904693999999999</v>
      </c>
      <c r="E216" s="5">
        <v>-66.982954000000007</v>
      </c>
      <c r="F216" s="3">
        <v>1861</v>
      </c>
      <c r="G216" s="3">
        <v>1864</v>
      </c>
      <c r="H216" s="5">
        <f t="shared" si="1"/>
        <v>4</v>
      </c>
      <c r="I216" s="3" t="s">
        <v>16</v>
      </c>
      <c r="J216" s="5">
        <v>0</v>
      </c>
      <c r="K216" s="3" t="s">
        <v>741</v>
      </c>
      <c r="L216" s="3" t="s">
        <v>10</v>
      </c>
      <c r="M216" s="3" t="s">
        <v>400</v>
      </c>
      <c r="N216" s="7" t="s">
        <v>401</v>
      </c>
    </row>
    <row r="217" spans="1:14" x14ac:dyDescent="0.35">
      <c r="A217" s="4" t="s">
        <v>398</v>
      </c>
      <c r="B217" s="3" t="s">
        <v>402</v>
      </c>
      <c r="C217" s="3" t="s">
        <v>31</v>
      </c>
      <c r="D217" s="5">
        <v>44.157705999999997</v>
      </c>
      <c r="E217" s="5">
        <v>-68.874179999999996</v>
      </c>
      <c r="F217" s="3">
        <v>1870</v>
      </c>
      <c r="G217" s="3">
        <v>1946</v>
      </c>
      <c r="H217" s="5">
        <f t="shared" si="1"/>
        <v>19</v>
      </c>
      <c r="I217" s="11" t="s">
        <v>403</v>
      </c>
      <c r="J217" s="5">
        <v>58</v>
      </c>
      <c r="K217" s="3" t="s">
        <v>741</v>
      </c>
      <c r="L217" s="3" t="s">
        <v>10</v>
      </c>
      <c r="M217" s="3" t="s">
        <v>400</v>
      </c>
      <c r="N217" s="7" t="s">
        <v>401</v>
      </c>
    </row>
    <row r="218" spans="1:14" x14ac:dyDescent="0.35">
      <c r="A218" s="4" t="s">
        <v>398</v>
      </c>
      <c r="B218" s="3" t="s">
        <v>404</v>
      </c>
      <c r="C218" s="3" t="s">
        <v>31</v>
      </c>
      <c r="D218" s="5">
        <v>41.817272000000003</v>
      </c>
      <c r="E218" s="5">
        <v>-71.402198999999996</v>
      </c>
      <c r="F218" s="3">
        <v>1872</v>
      </c>
      <c r="G218" s="3">
        <v>1892</v>
      </c>
      <c r="H218" s="5">
        <f t="shared" si="1"/>
        <v>21</v>
      </c>
      <c r="I218" s="3" t="s">
        <v>16</v>
      </c>
      <c r="J218" s="5">
        <v>0</v>
      </c>
      <c r="K218" s="3" t="s">
        <v>741</v>
      </c>
      <c r="L218" s="3" t="s">
        <v>10</v>
      </c>
      <c r="M218" s="3" t="s">
        <v>400</v>
      </c>
      <c r="N218" s="7" t="s">
        <v>401</v>
      </c>
    </row>
    <row r="219" spans="1:14" x14ac:dyDescent="0.35">
      <c r="A219" s="4" t="s">
        <v>398</v>
      </c>
      <c r="B219" s="3" t="s">
        <v>405</v>
      </c>
      <c r="C219" s="3" t="s">
        <v>31</v>
      </c>
      <c r="D219" s="5">
        <v>40.806913999999999</v>
      </c>
      <c r="E219" s="5">
        <v>-73.791622000000004</v>
      </c>
      <c r="F219" s="3">
        <v>1921</v>
      </c>
      <c r="G219" s="3">
        <v>1932</v>
      </c>
      <c r="H219" s="5">
        <f t="shared" si="1"/>
        <v>12</v>
      </c>
      <c r="I219" s="3" t="s">
        <v>16</v>
      </c>
      <c r="J219" s="5">
        <v>0</v>
      </c>
      <c r="K219" s="3" t="s">
        <v>741</v>
      </c>
      <c r="L219" s="3" t="s">
        <v>10</v>
      </c>
      <c r="M219" s="3" t="s">
        <v>400</v>
      </c>
      <c r="N219" s="7" t="s">
        <v>401</v>
      </c>
    </row>
    <row r="220" spans="1:14" x14ac:dyDescent="0.35">
      <c r="A220" s="4" t="s">
        <v>398</v>
      </c>
      <c r="B220" s="3" t="s">
        <v>406</v>
      </c>
      <c r="C220" s="3" t="s">
        <v>31</v>
      </c>
      <c r="D220" s="5">
        <v>40.796692999999998</v>
      </c>
      <c r="E220" s="5">
        <v>-73.779477</v>
      </c>
      <c r="F220" s="3">
        <v>1892</v>
      </c>
      <c r="G220" s="3">
        <v>2000</v>
      </c>
      <c r="H220" s="5">
        <f t="shared" si="1"/>
        <v>71</v>
      </c>
      <c r="I220" s="11" t="s">
        <v>407</v>
      </c>
      <c r="J220" s="5">
        <v>38</v>
      </c>
      <c r="K220" s="3" t="s">
        <v>741</v>
      </c>
      <c r="L220" s="3" t="s">
        <v>10</v>
      </c>
      <c r="M220" s="3" t="s">
        <v>400</v>
      </c>
      <c r="N220" s="7" t="s">
        <v>401</v>
      </c>
    </row>
    <row r="221" spans="1:14" x14ac:dyDescent="0.35">
      <c r="A221" s="4" t="s">
        <v>398</v>
      </c>
      <c r="B221" s="3" t="s">
        <v>408</v>
      </c>
      <c r="C221" s="3" t="s">
        <v>31</v>
      </c>
      <c r="D221" s="5">
        <v>40.700215999999998</v>
      </c>
      <c r="E221" s="5">
        <v>-74.010824999999997</v>
      </c>
      <c r="F221" s="3">
        <v>1843</v>
      </c>
      <c r="G221" s="3">
        <v>2017</v>
      </c>
      <c r="H221" s="5">
        <f t="shared" si="1"/>
        <v>170</v>
      </c>
      <c r="I221" s="11" t="s">
        <v>409</v>
      </c>
      <c r="J221" s="5">
        <v>5</v>
      </c>
      <c r="K221" s="3" t="s">
        <v>741</v>
      </c>
      <c r="L221" s="3" t="s">
        <v>10</v>
      </c>
      <c r="M221" s="3" t="s">
        <v>400</v>
      </c>
      <c r="N221" s="7" t="s">
        <v>401</v>
      </c>
    </row>
    <row r="222" spans="1:14" x14ac:dyDescent="0.35">
      <c r="A222" s="4" t="s">
        <v>398</v>
      </c>
      <c r="B222" s="3" t="s">
        <v>410</v>
      </c>
      <c r="C222" s="3" t="s">
        <v>31</v>
      </c>
      <c r="D222" s="5">
        <v>40.513271000000003</v>
      </c>
      <c r="E222" s="5">
        <v>-74.259399000000002</v>
      </c>
      <c r="F222" s="3">
        <v>1933</v>
      </c>
      <c r="G222" s="3">
        <v>1943</v>
      </c>
      <c r="H222" s="5">
        <f t="shared" si="1"/>
        <v>11</v>
      </c>
      <c r="I222" s="3" t="s">
        <v>16</v>
      </c>
      <c r="J222" s="5">
        <v>0</v>
      </c>
      <c r="K222" s="3" t="s">
        <v>741</v>
      </c>
      <c r="L222" s="3" t="s">
        <v>10</v>
      </c>
      <c r="M222" s="3" t="s">
        <v>400</v>
      </c>
      <c r="N222" s="7" t="s">
        <v>401</v>
      </c>
    </row>
    <row r="223" spans="1:14" x14ac:dyDescent="0.35">
      <c r="A223" s="4" t="s">
        <v>398</v>
      </c>
      <c r="B223" s="3" t="s">
        <v>411</v>
      </c>
      <c r="C223" s="3" t="s">
        <v>31</v>
      </c>
      <c r="D223" s="5">
        <v>37.002716999999997</v>
      </c>
      <c r="E223" s="5">
        <v>-76.314700999999999</v>
      </c>
      <c r="F223" s="3">
        <v>1844</v>
      </c>
      <c r="G223" s="3">
        <v>1974</v>
      </c>
      <c r="H223" s="5">
        <f t="shared" si="1"/>
        <v>60</v>
      </c>
      <c r="I223" s="11" t="s">
        <v>412</v>
      </c>
      <c r="J223" s="5">
        <v>71</v>
      </c>
      <c r="K223" s="3" t="s">
        <v>741</v>
      </c>
      <c r="L223" s="3" t="s">
        <v>10</v>
      </c>
      <c r="M223" s="3" t="s">
        <v>400</v>
      </c>
      <c r="N223" s="7" t="s">
        <v>401</v>
      </c>
    </row>
    <row r="224" spans="1:14" x14ac:dyDescent="0.35">
      <c r="A224" s="4" t="s">
        <v>398</v>
      </c>
      <c r="B224" s="3" t="s">
        <v>413</v>
      </c>
      <c r="C224" s="3" t="s">
        <v>31</v>
      </c>
      <c r="D224" s="5">
        <v>36.853709000000002</v>
      </c>
      <c r="E224" s="5">
        <v>-76.300720999999996</v>
      </c>
      <c r="F224" s="3">
        <v>1826</v>
      </c>
      <c r="G224" s="3">
        <v>1894</v>
      </c>
      <c r="H224" s="5">
        <f t="shared" si="1"/>
        <v>10</v>
      </c>
      <c r="I224" s="11" t="s">
        <v>414</v>
      </c>
      <c r="J224" s="5">
        <v>59</v>
      </c>
      <c r="K224" s="3" t="s">
        <v>741</v>
      </c>
      <c r="L224" s="3" t="s">
        <v>10</v>
      </c>
      <c r="M224" s="3" t="s">
        <v>400</v>
      </c>
      <c r="N224" s="7" t="s">
        <v>401</v>
      </c>
    </row>
    <row r="225" spans="1:14" x14ac:dyDescent="0.35">
      <c r="A225" s="4" t="s">
        <v>398</v>
      </c>
      <c r="B225" s="3" t="s">
        <v>393</v>
      </c>
      <c r="C225" s="3" t="s">
        <v>31</v>
      </c>
      <c r="D225" s="5">
        <v>33.915756000000002</v>
      </c>
      <c r="E225" s="5">
        <v>-78.022559999999999</v>
      </c>
      <c r="F225" s="3">
        <v>1851</v>
      </c>
      <c r="G225" s="3">
        <v>1954</v>
      </c>
      <c r="H225" s="5">
        <f t="shared" si="1"/>
        <v>31</v>
      </c>
      <c r="I225" s="11" t="s">
        <v>415</v>
      </c>
      <c r="J225" s="5">
        <v>73</v>
      </c>
      <c r="K225" s="3" t="s">
        <v>741</v>
      </c>
      <c r="L225" s="3" t="s">
        <v>10</v>
      </c>
      <c r="M225" s="3" t="s">
        <v>400</v>
      </c>
      <c r="N225" s="7" t="s">
        <v>401</v>
      </c>
    </row>
    <row r="226" spans="1:14" x14ac:dyDescent="0.35">
      <c r="A226" s="4" t="s">
        <v>398</v>
      </c>
      <c r="B226" s="3" t="s">
        <v>416</v>
      </c>
      <c r="C226" s="3" t="s">
        <v>31</v>
      </c>
      <c r="D226" s="5">
        <v>32.775281999999997</v>
      </c>
      <c r="E226" s="5">
        <v>-79.924156999999994</v>
      </c>
      <c r="F226" s="3">
        <v>1849</v>
      </c>
      <c r="G226" s="3">
        <v>1904</v>
      </c>
      <c r="H226" s="5">
        <f t="shared" si="1"/>
        <v>36</v>
      </c>
      <c r="I226" s="11" t="s">
        <v>417</v>
      </c>
      <c r="J226" s="5">
        <v>20</v>
      </c>
      <c r="K226" s="3" t="s">
        <v>741</v>
      </c>
      <c r="L226" s="3" t="s">
        <v>10</v>
      </c>
      <c r="M226" s="3" t="s">
        <v>400</v>
      </c>
      <c r="N226" s="7" t="s">
        <v>401</v>
      </c>
    </row>
    <row r="227" spans="1:14" x14ac:dyDescent="0.35">
      <c r="A227" s="4" t="s">
        <v>398</v>
      </c>
      <c r="B227" s="3" t="s">
        <v>418</v>
      </c>
      <c r="C227" s="3" t="s">
        <v>31</v>
      </c>
      <c r="D227" s="5">
        <v>25.770721999999999</v>
      </c>
      <c r="E227" s="5">
        <v>-80.140563</v>
      </c>
      <c r="F227" s="3">
        <v>1931</v>
      </c>
      <c r="G227" s="3">
        <v>1985</v>
      </c>
      <c r="H227" s="5">
        <f t="shared" si="1"/>
        <v>53</v>
      </c>
      <c r="I227" s="11" t="s">
        <v>419</v>
      </c>
      <c r="J227" s="5">
        <v>2</v>
      </c>
      <c r="K227" s="3" t="s">
        <v>741</v>
      </c>
      <c r="L227" s="3" t="s">
        <v>10</v>
      </c>
      <c r="M227" s="3" t="s">
        <v>400</v>
      </c>
      <c r="N227" s="7" t="s">
        <v>401</v>
      </c>
    </row>
    <row r="228" spans="1:14" x14ac:dyDescent="0.35">
      <c r="A228" s="4" t="s">
        <v>398</v>
      </c>
      <c r="B228" s="3" t="s">
        <v>420</v>
      </c>
      <c r="C228" s="3" t="s">
        <v>31</v>
      </c>
      <c r="D228" s="5">
        <v>30.959171000000001</v>
      </c>
      <c r="E228" s="5">
        <v>-91.666561999999999</v>
      </c>
      <c r="F228" s="3">
        <v>1871</v>
      </c>
      <c r="G228" s="3">
        <v>1924</v>
      </c>
      <c r="H228" s="5">
        <f t="shared" si="1"/>
        <v>54</v>
      </c>
      <c r="I228" s="3" t="s">
        <v>16</v>
      </c>
      <c r="J228" s="5">
        <v>0</v>
      </c>
      <c r="K228" s="3" t="s">
        <v>741</v>
      </c>
      <c r="L228" s="3" t="s">
        <v>10</v>
      </c>
      <c r="M228" s="3" t="s">
        <v>400</v>
      </c>
      <c r="N228" s="7" t="s">
        <v>401</v>
      </c>
    </row>
    <row r="229" spans="1:14" x14ac:dyDescent="0.35">
      <c r="A229" s="4" t="s">
        <v>398</v>
      </c>
      <c r="B229" s="3" t="s">
        <v>421</v>
      </c>
      <c r="C229" s="3" t="s">
        <v>31</v>
      </c>
      <c r="D229" s="5">
        <v>30.762004000000001</v>
      </c>
      <c r="E229" s="5">
        <v>-91.398989999999998</v>
      </c>
      <c r="F229" s="3">
        <v>1898</v>
      </c>
      <c r="G229" s="3">
        <v>1933</v>
      </c>
      <c r="H229" s="5">
        <f t="shared" si="1"/>
        <v>36</v>
      </c>
      <c r="I229" s="3" t="s">
        <v>16</v>
      </c>
      <c r="J229" s="5">
        <v>0</v>
      </c>
      <c r="K229" s="3" t="s">
        <v>741</v>
      </c>
      <c r="L229" s="3" t="s">
        <v>10</v>
      </c>
      <c r="M229" s="3" t="s">
        <v>400</v>
      </c>
      <c r="N229" s="7" t="s">
        <v>401</v>
      </c>
    </row>
    <row r="230" spans="1:14" x14ac:dyDescent="0.35">
      <c r="A230" s="4" t="s">
        <v>398</v>
      </c>
      <c r="B230" s="3" t="s">
        <v>422</v>
      </c>
      <c r="C230" s="3" t="s">
        <v>31</v>
      </c>
      <c r="D230" s="5">
        <v>30.459246</v>
      </c>
      <c r="E230" s="5">
        <v>-91.192700000000002</v>
      </c>
      <c r="F230" s="3">
        <v>1883</v>
      </c>
      <c r="G230" s="3">
        <v>1890</v>
      </c>
      <c r="H230" s="5">
        <f t="shared" si="1"/>
        <v>8</v>
      </c>
      <c r="I230" s="3" t="s">
        <v>16</v>
      </c>
      <c r="J230" s="5">
        <v>0</v>
      </c>
      <c r="K230" s="3" t="s">
        <v>741</v>
      </c>
      <c r="L230" s="3" t="s">
        <v>10</v>
      </c>
      <c r="M230" s="3" t="s">
        <v>400</v>
      </c>
      <c r="N230" s="7" t="s">
        <v>401</v>
      </c>
    </row>
    <row r="231" spans="1:14" x14ac:dyDescent="0.35">
      <c r="A231" s="4" t="s">
        <v>398</v>
      </c>
      <c r="B231" s="3" t="s">
        <v>423</v>
      </c>
      <c r="C231" s="3" t="s">
        <v>31</v>
      </c>
      <c r="D231" s="5">
        <v>30.283428000000001</v>
      </c>
      <c r="E231" s="5">
        <v>-91.223449000000002</v>
      </c>
      <c r="F231" s="3">
        <v>1880</v>
      </c>
      <c r="G231" s="3">
        <v>1933</v>
      </c>
      <c r="H231" s="5">
        <f t="shared" si="1"/>
        <v>54</v>
      </c>
      <c r="I231" s="3" t="s">
        <v>16</v>
      </c>
      <c r="J231" s="5">
        <v>0</v>
      </c>
      <c r="K231" s="3" t="s">
        <v>741</v>
      </c>
      <c r="L231" s="3" t="s">
        <v>10</v>
      </c>
      <c r="M231" s="3" t="s">
        <v>400</v>
      </c>
      <c r="N231" s="7" t="s">
        <v>401</v>
      </c>
    </row>
    <row r="232" spans="1:14" x14ac:dyDescent="0.35">
      <c r="A232" s="4" t="s">
        <v>398</v>
      </c>
      <c r="B232" s="3" t="s">
        <v>424</v>
      </c>
      <c r="C232" s="3" t="s">
        <v>31</v>
      </c>
      <c r="D232" s="5">
        <v>30.109304999999999</v>
      </c>
      <c r="E232" s="5">
        <v>-90.990033999999994</v>
      </c>
      <c r="F232" s="3">
        <v>1890</v>
      </c>
      <c r="G232" s="3">
        <v>1933</v>
      </c>
      <c r="H232" s="5">
        <f t="shared" si="1"/>
        <v>44</v>
      </c>
      <c r="I232" s="3" t="s">
        <v>16</v>
      </c>
      <c r="J232" s="5">
        <v>0</v>
      </c>
      <c r="K232" s="3" t="s">
        <v>741</v>
      </c>
      <c r="L232" s="3" t="s">
        <v>10</v>
      </c>
      <c r="M232" s="3" t="s">
        <v>400</v>
      </c>
      <c r="N232" s="7" t="s">
        <v>401</v>
      </c>
    </row>
    <row r="233" spans="1:14" x14ac:dyDescent="0.35">
      <c r="A233" s="4" t="s">
        <v>398</v>
      </c>
      <c r="B233" s="3" t="s">
        <v>425</v>
      </c>
      <c r="C233" s="3" t="s">
        <v>31</v>
      </c>
      <c r="D233" s="5">
        <v>30.208877999999999</v>
      </c>
      <c r="E233" s="5">
        <v>-91.166239000000004</v>
      </c>
      <c r="F233" s="3">
        <v>1881</v>
      </c>
      <c r="G233" s="3">
        <v>1908</v>
      </c>
      <c r="H233" s="5">
        <f t="shared" si="1"/>
        <v>28</v>
      </c>
      <c r="I233" s="3" t="s">
        <v>16</v>
      </c>
      <c r="J233" s="5">
        <v>0</v>
      </c>
      <c r="K233" s="3" t="s">
        <v>741</v>
      </c>
      <c r="L233" s="3" t="s">
        <v>10</v>
      </c>
      <c r="M233" s="3" t="s">
        <v>400</v>
      </c>
      <c r="N233" s="7" t="s">
        <v>401</v>
      </c>
    </row>
    <row r="234" spans="1:14" x14ac:dyDescent="0.35">
      <c r="A234" s="4" t="s">
        <v>398</v>
      </c>
      <c r="B234" s="3" t="s">
        <v>426</v>
      </c>
      <c r="C234" s="3" t="s">
        <v>31</v>
      </c>
      <c r="D234" s="5">
        <v>29.35737</v>
      </c>
      <c r="E234" s="5">
        <v>-89.457009999999997</v>
      </c>
      <c r="F234" s="3">
        <v>1898</v>
      </c>
      <c r="G234" s="3">
        <v>1933</v>
      </c>
      <c r="H234" s="5">
        <f t="shared" si="1"/>
        <v>36</v>
      </c>
      <c r="I234" s="3" t="s">
        <v>16</v>
      </c>
      <c r="J234" s="5">
        <v>0</v>
      </c>
      <c r="K234" s="3" t="s">
        <v>741</v>
      </c>
      <c r="L234" s="3" t="s">
        <v>10</v>
      </c>
      <c r="M234" s="3" t="s">
        <v>400</v>
      </c>
      <c r="N234" s="7" t="s">
        <v>401</v>
      </c>
    </row>
    <row r="235" spans="1:14" x14ac:dyDescent="0.35">
      <c r="A235" s="4" t="s">
        <v>398</v>
      </c>
      <c r="B235" s="3" t="s">
        <v>427</v>
      </c>
      <c r="C235" s="3" t="s">
        <v>31</v>
      </c>
      <c r="D235" s="5">
        <v>29.920157</v>
      </c>
      <c r="E235" s="5">
        <v>-89.967798999999999</v>
      </c>
      <c r="F235" s="3">
        <v>1872</v>
      </c>
      <c r="G235" s="3">
        <v>1933</v>
      </c>
      <c r="H235" s="5">
        <f t="shared" si="1"/>
        <v>62</v>
      </c>
      <c r="I235" s="3" t="s">
        <v>16</v>
      </c>
      <c r="J235" s="5">
        <v>0</v>
      </c>
      <c r="K235" s="3" t="s">
        <v>741</v>
      </c>
      <c r="L235" s="3" t="s">
        <v>10</v>
      </c>
      <c r="M235" s="3" t="s">
        <v>400</v>
      </c>
      <c r="N235" s="7" t="s">
        <v>401</v>
      </c>
    </row>
    <row r="236" spans="1:14" x14ac:dyDescent="0.35">
      <c r="A236" s="4" t="s">
        <v>398</v>
      </c>
      <c r="B236" s="3" t="s">
        <v>428</v>
      </c>
      <c r="C236" s="3" t="s">
        <v>31</v>
      </c>
      <c r="D236" s="5">
        <v>29.952963</v>
      </c>
      <c r="E236" s="5">
        <v>-90.035176000000007</v>
      </c>
      <c r="F236" s="3">
        <v>1903</v>
      </c>
      <c r="G236" s="3">
        <v>1921</v>
      </c>
      <c r="H236" s="5">
        <f t="shared" si="1"/>
        <v>19</v>
      </c>
      <c r="I236" s="3" t="s">
        <v>16</v>
      </c>
      <c r="J236" s="5">
        <v>0</v>
      </c>
      <c r="K236" s="3" t="s">
        <v>741</v>
      </c>
      <c r="L236" s="3" t="s">
        <v>10</v>
      </c>
      <c r="M236" s="3" t="s">
        <v>400</v>
      </c>
      <c r="N236" s="7" t="s">
        <v>401</v>
      </c>
    </row>
    <row r="237" spans="1:14" x14ac:dyDescent="0.35">
      <c r="A237" s="4" t="s">
        <v>398</v>
      </c>
      <c r="B237" s="3" t="s">
        <v>429</v>
      </c>
      <c r="C237" s="3" t="s">
        <v>31</v>
      </c>
      <c r="D237" s="5">
        <v>29.250332</v>
      </c>
      <c r="E237" s="5">
        <v>-89.360967000000002</v>
      </c>
      <c r="F237" s="3">
        <v>1895</v>
      </c>
      <c r="G237" s="3">
        <v>1924</v>
      </c>
      <c r="H237" s="5">
        <f t="shared" si="1"/>
        <v>30</v>
      </c>
      <c r="I237" s="3" t="s">
        <v>16</v>
      </c>
      <c r="J237" s="5">
        <v>0</v>
      </c>
      <c r="K237" s="3" t="s">
        <v>741</v>
      </c>
      <c r="L237" s="3" t="s">
        <v>10</v>
      </c>
      <c r="M237" s="3" t="s">
        <v>400</v>
      </c>
      <c r="N237" s="7" t="s">
        <v>401</v>
      </c>
    </row>
    <row r="238" spans="1:14" x14ac:dyDescent="0.35">
      <c r="A238" s="4" t="s">
        <v>398</v>
      </c>
      <c r="B238" s="3" t="s">
        <v>430</v>
      </c>
      <c r="C238" s="3" t="s">
        <v>31</v>
      </c>
      <c r="D238" s="5">
        <v>30.39189</v>
      </c>
      <c r="E238" s="5">
        <v>-88.889348999999996</v>
      </c>
      <c r="F238" s="3">
        <v>1855</v>
      </c>
      <c r="G238" s="3">
        <v>1928</v>
      </c>
      <c r="H238" s="5">
        <f t="shared" si="1"/>
        <v>37</v>
      </c>
      <c r="I238" s="11" t="s">
        <v>431</v>
      </c>
      <c r="J238" s="5">
        <v>37</v>
      </c>
      <c r="K238" s="3" t="s">
        <v>741</v>
      </c>
      <c r="L238" s="3" t="s">
        <v>10</v>
      </c>
      <c r="M238" s="3" t="s">
        <v>400</v>
      </c>
      <c r="N238" s="7" t="s">
        <v>401</v>
      </c>
    </row>
    <row r="239" spans="1:14" x14ac:dyDescent="0.35">
      <c r="A239" s="4" t="s">
        <v>398</v>
      </c>
      <c r="B239" s="3" t="s">
        <v>432</v>
      </c>
      <c r="C239" s="3" t="s">
        <v>31</v>
      </c>
      <c r="D239" s="5">
        <v>29.282572999999999</v>
      </c>
      <c r="E239" s="5">
        <v>-94.861940000000004</v>
      </c>
      <c r="F239" s="3">
        <v>1852</v>
      </c>
      <c r="G239" s="3">
        <v>1890</v>
      </c>
      <c r="H239" s="5">
        <f t="shared" si="1"/>
        <v>5</v>
      </c>
      <c r="I239" s="11" t="s">
        <v>433</v>
      </c>
      <c r="J239" s="5">
        <v>34</v>
      </c>
      <c r="K239" s="3" t="s">
        <v>741</v>
      </c>
      <c r="L239" s="3" t="s">
        <v>10</v>
      </c>
      <c r="M239" s="3" t="s">
        <v>400</v>
      </c>
      <c r="N239" s="7" t="s">
        <v>401</v>
      </c>
    </row>
    <row r="240" spans="1:14" x14ac:dyDescent="0.35">
      <c r="A240" s="4" t="s">
        <v>398</v>
      </c>
      <c r="B240" s="3" t="s">
        <v>434</v>
      </c>
      <c r="C240" s="3" t="s">
        <v>31</v>
      </c>
      <c r="D240" s="5">
        <v>38.563921000000001</v>
      </c>
      <c r="E240" s="5">
        <v>-121.517494</v>
      </c>
      <c r="F240" s="3">
        <v>1849</v>
      </c>
      <c r="G240" s="3">
        <v>1946</v>
      </c>
      <c r="H240" s="5">
        <f t="shared" si="1"/>
        <v>79</v>
      </c>
      <c r="I240" s="11" t="s">
        <v>435</v>
      </c>
      <c r="J240" s="5">
        <v>19</v>
      </c>
      <c r="K240" s="3" t="s">
        <v>741</v>
      </c>
      <c r="L240" s="3" t="s">
        <v>10</v>
      </c>
      <c r="M240" s="3" t="s">
        <v>400</v>
      </c>
      <c r="N240" s="7" t="s">
        <v>401</v>
      </c>
    </row>
    <row r="241" spans="1:14" x14ac:dyDescent="0.35">
      <c r="A241" s="4" t="s">
        <v>398</v>
      </c>
      <c r="B241" s="3" t="s">
        <v>436</v>
      </c>
      <c r="C241" s="3" t="s">
        <v>31</v>
      </c>
      <c r="D241" s="5">
        <v>37.856363000000002</v>
      </c>
      <c r="E241" s="5">
        <v>-122.47832099999999</v>
      </c>
      <c r="F241" s="3">
        <v>1877</v>
      </c>
      <c r="G241" s="3">
        <v>1953</v>
      </c>
      <c r="H241" s="5">
        <f t="shared" si="1"/>
        <v>23</v>
      </c>
      <c r="I241" s="11" t="s">
        <v>437</v>
      </c>
      <c r="J241" s="5">
        <v>54</v>
      </c>
      <c r="K241" s="3" t="s">
        <v>741</v>
      </c>
      <c r="L241" s="3" t="s">
        <v>10</v>
      </c>
      <c r="M241" s="3" t="s">
        <v>400</v>
      </c>
      <c r="N241" s="7" t="s">
        <v>401</v>
      </c>
    </row>
    <row r="242" spans="1:14" x14ac:dyDescent="0.35">
      <c r="A242" s="4" t="s">
        <v>398</v>
      </c>
      <c r="B242" s="3" t="s">
        <v>438</v>
      </c>
      <c r="C242" s="3" t="s">
        <v>31</v>
      </c>
      <c r="D242" s="5">
        <v>37.810412999999997</v>
      </c>
      <c r="E242" s="5">
        <v>-122.42451</v>
      </c>
      <c r="F242" s="3">
        <v>1854</v>
      </c>
      <c r="G242" s="3">
        <v>1877</v>
      </c>
      <c r="H242" s="5">
        <f t="shared" si="1"/>
        <v>24</v>
      </c>
      <c r="I242" s="3" t="s">
        <v>16</v>
      </c>
      <c r="J242" s="5">
        <v>0</v>
      </c>
      <c r="K242" s="3" t="s">
        <v>741</v>
      </c>
      <c r="L242" s="3" t="s">
        <v>10</v>
      </c>
      <c r="M242" s="3" t="s">
        <v>400</v>
      </c>
      <c r="N242" s="7" t="s">
        <v>401</v>
      </c>
    </row>
    <row r="243" spans="1:14" x14ac:dyDescent="0.35">
      <c r="A243" s="4" t="s">
        <v>398</v>
      </c>
      <c r="B243" s="3" t="s">
        <v>439</v>
      </c>
      <c r="C243" s="3" t="s">
        <v>31</v>
      </c>
      <c r="D243" s="5">
        <v>32.669840999999998</v>
      </c>
      <c r="E243" s="5">
        <v>-117.122569</v>
      </c>
      <c r="F243" s="3">
        <v>1853</v>
      </c>
      <c r="G243" s="3">
        <v>1872</v>
      </c>
      <c r="H243" s="5">
        <f t="shared" si="1"/>
        <v>20</v>
      </c>
      <c r="I243" s="3" t="s">
        <v>16</v>
      </c>
      <c r="J243" s="5">
        <v>0</v>
      </c>
      <c r="K243" s="3" t="s">
        <v>741</v>
      </c>
      <c r="L243" s="3" t="s">
        <v>10</v>
      </c>
      <c r="M243" s="3" t="s">
        <v>400</v>
      </c>
      <c r="N243" s="7" t="s">
        <v>401</v>
      </c>
    </row>
    <row r="244" spans="1:14" x14ac:dyDescent="0.35">
      <c r="A244" s="4" t="s">
        <v>398</v>
      </c>
      <c r="B244" s="3" t="s">
        <v>440</v>
      </c>
      <c r="C244" s="3" t="s">
        <v>31</v>
      </c>
      <c r="D244" s="5">
        <v>34.007829999999998</v>
      </c>
      <c r="E244" s="5">
        <v>-118.49990099999999</v>
      </c>
      <c r="F244" s="3">
        <v>1932</v>
      </c>
      <c r="G244" s="3">
        <v>1965</v>
      </c>
      <c r="H244" s="5">
        <f t="shared" si="1"/>
        <v>34</v>
      </c>
      <c r="I244" s="3" t="s">
        <v>16</v>
      </c>
      <c r="J244" s="5">
        <v>0</v>
      </c>
      <c r="K244" s="3" t="s">
        <v>741</v>
      </c>
      <c r="L244" s="3" t="s">
        <v>10</v>
      </c>
      <c r="M244" s="3" t="s">
        <v>400</v>
      </c>
      <c r="N244" s="7" t="s">
        <v>401</v>
      </c>
    </row>
    <row r="245" spans="1:14" x14ac:dyDescent="0.35">
      <c r="A245" s="4" t="s">
        <v>398</v>
      </c>
      <c r="B245" s="3" t="s">
        <v>441</v>
      </c>
      <c r="C245" s="3" t="s">
        <v>31</v>
      </c>
      <c r="D245" s="5">
        <v>48.135519000000002</v>
      </c>
      <c r="E245" s="5">
        <v>-122.760623</v>
      </c>
      <c r="F245" s="3">
        <v>1855</v>
      </c>
      <c r="G245" s="3">
        <v>1952</v>
      </c>
      <c r="H245" s="5">
        <f t="shared" si="1"/>
        <v>11</v>
      </c>
      <c r="I245" s="11" t="s">
        <v>442</v>
      </c>
      <c r="J245" s="5">
        <v>87</v>
      </c>
      <c r="K245" s="3" t="s">
        <v>741</v>
      </c>
      <c r="L245" s="3" t="s">
        <v>10</v>
      </c>
      <c r="M245" s="3" t="s">
        <v>400</v>
      </c>
      <c r="N245" s="7" t="s">
        <v>401</v>
      </c>
    </row>
    <row r="246" spans="1:14" x14ac:dyDescent="0.35">
      <c r="A246" s="4" t="s">
        <v>398</v>
      </c>
      <c r="B246" s="3" t="s">
        <v>346</v>
      </c>
      <c r="C246" s="3" t="s">
        <v>31</v>
      </c>
      <c r="D246" s="5">
        <v>45.622391</v>
      </c>
      <c r="E246" s="5">
        <v>-122.677542</v>
      </c>
      <c r="F246" s="3">
        <v>1902</v>
      </c>
      <c r="G246" s="3">
        <v>2017</v>
      </c>
      <c r="H246" s="5">
        <f t="shared" si="1"/>
        <v>91</v>
      </c>
      <c r="I246" s="3" t="s">
        <v>16</v>
      </c>
      <c r="J246" s="5">
        <v>25</v>
      </c>
      <c r="K246" s="3" t="s">
        <v>741</v>
      </c>
      <c r="L246" s="3" t="s">
        <v>10</v>
      </c>
      <c r="M246" s="3" t="s">
        <v>400</v>
      </c>
      <c r="N246" s="7" t="s">
        <v>401</v>
      </c>
    </row>
    <row r="247" spans="1:14" x14ac:dyDescent="0.35">
      <c r="A247" s="4" t="s">
        <v>398</v>
      </c>
      <c r="B247" s="3" t="s">
        <v>443</v>
      </c>
      <c r="C247" s="3" t="s">
        <v>31</v>
      </c>
      <c r="D247" s="5">
        <v>45.509630999999999</v>
      </c>
      <c r="E247" s="5">
        <v>-122.671695</v>
      </c>
      <c r="F247" s="3">
        <v>1876</v>
      </c>
      <c r="G247" s="3">
        <v>2017</v>
      </c>
      <c r="H247" s="5">
        <f t="shared" si="1"/>
        <v>142</v>
      </c>
      <c r="I247" s="3" t="s">
        <v>16</v>
      </c>
      <c r="J247" s="5">
        <v>0</v>
      </c>
      <c r="K247" s="3" t="s">
        <v>741</v>
      </c>
      <c r="L247" s="3" t="s">
        <v>10</v>
      </c>
      <c r="M247" s="3" t="s">
        <v>400</v>
      </c>
      <c r="N247" s="7" t="s">
        <v>401</v>
      </c>
    </row>
    <row r="248" spans="1:14" x14ac:dyDescent="0.35">
      <c r="A248" s="4" t="s">
        <v>398</v>
      </c>
      <c r="B248" s="3" t="s">
        <v>444</v>
      </c>
      <c r="C248" s="3" t="s">
        <v>31</v>
      </c>
      <c r="D248" s="5">
        <v>45.652999000000001</v>
      </c>
      <c r="E248" s="5">
        <v>-122.762699</v>
      </c>
      <c r="F248" s="3">
        <v>1901</v>
      </c>
      <c r="G248" s="3">
        <v>1914</v>
      </c>
      <c r="H248" s="5">
        <f t="shared" si="1"/>
        <v>14</v>
      </c>
      <c r="I248" s="3" t="s">
        <v>16</v>
      </c>
      <c r="J248" s="5">
        <v>0</v>
      </c>
      <c r="K248" s="3" t="s">
        <v>741</v>
      </c>
      <c r="L248" s="3" t="s">
        <v>10</v>
      </c>
      <c r="M248" s="3" t="s">
        <v>400</v>
      </c>
      <c r="N248" s="7" t="s">
        <v>401</v>
      </c>
    </row>
    <row r="249" spans="1:14" x14ac:dyDescent="0.35">
      <c r="A249" s="4" t="s">
        <v>398</v>
      </c>
      <c r="B249" s="3" t="s">
        <v>445</v>
      </c>
      <c r="C249" s="3" t="s">
        <v>31</v>
      </c>
      <c r="D249" s="5">
        <v>57.048735000000001</v>
      </c>
      <c r="E249" s="5">
        <v>-135.340982</v>
      </c>
      <c r="F249" s="3">
        <v>1893</v>
      </c>
      <c r="G249" s="3">
        <v>1928</v>
      </c>
      <c r="H249" s="5">
        <f t="shared" si="1"/>
        <v>6</v>
      </c>
      <c r="I249" s="11" t="s">
        <v>446</v>
      </c>
      <c r="J249" s="5">
        <v>30</v>
      </c>
      <c r="K249" s="3" t="s">
        <v>741</v>
      </c>
      <c r="L249" s="3" t="s">
        <v>10</v>
      </c>
      <c r="M249" s="3" t="s">
        <v>400</v>
      </c>
      <c r="N249" s="7" t="s">
        <v>401</v>
      </c>
    </row>
    <row r="250" spans="1:14" x14ac:dyDescent="0.35">
      <c r="A250" s="4" t="s">
        <v>398</v>
      </c>
      <c r="B250" s="3" t="s">
        <v>447</v>
      </c>
      <c r="C250" s="3" t="s">
        <v>31</v>
      </c>
      <c r="D250" s="5">
        <v>57.787987999999999</v>
      </c>
      <c r="E250" s="5">
        <v>-152.400452</v>
      </c>
      <c r="F250" s="3">
        <v>1880</v>
      </c>
      <c r="G250" s="3">
        <v>1973</v>
      </c>
      <c r="H250" s="5">
        <f t="shared" si="1"/>
        <v>43</v>
      </c>
      <c r="I250" s="11" t="s">
        <v>448</v>
      </c>
      <c r="J250" s="5">
        <f>16+8+15+12</f>
        <v>51</v>
      </c>
      <c r="K250" s="3" t="s">
        <v>741</v>
      </c>
      <c r="L250" s="3" t="s">
        <v>10</v>
      </c>
      <c r="M250" s="3" t="s">
        <v>400</v>
      </c>
      <c r="N250" s="7" t="s">
        <v>401</v>
      </c>
    </row>
    <row r="251" spans="1:14" x14ac:dyDescent="0.35">
      <c r="A251" s="4" t="s">
        <v>398</v>
      </c>
      <c r="B251" s="3" t="s">
        <v>449</v>
      </c>
      <c r="C251" s="3" t="s">
        <v>31</v>
      </c>
      <c r="D251" s="5">
        <v>53.891196000000001</v>
      </c>
      <c r="E251" s="5">
        <v>-166.534492</v>
      </c>
      <c r="F251" s="3">
        <v>1934</v>
      </c>
      <c r="G251" s="3">
        <v>1979</v>
      </c>
      <c r="H251" s="5">
        <f t="shared" si="1"/>
        <v>40</v>
      </c>
      <c r="I251" s="11" t="s">
        <v>450</v>
      </c>
      <c r="J251" s="5">
        <v>6</v>
      </c>
      <c r="K251" s="3" t="s">
        <v>741</v>
      </c>
      <c r="L251" s="3" t="s">
        <v>10</v>
      </c>
      <c r="M251" s="3" t="s">
        <v>400</v>
      </c>
      <c r="N251" s="7" t="s">
        <v>401</v>
      </c>
    </row>
    <row r="252" spans="1:14" x14ac:dyDescent="0.35">
      <c r="A252" s="4" t="s">
        <v>398</v>
      </c>
      <c r="B252" s="3" t="s">
        <v>451</v>
      </c>
      <c r="C252" s="3" t="s">
        <v>31</v>
      </c>
      <c r="D252" s="5">
        <v>51.860652000000002</v>
      </c>
      <c r="E252" s="5">
        <v>-176.63738599999999</v>
      </c>
      <c r="F252" s="3">
        <v>1943</v>
      </c>
      <c r="G252" s="3">
        <v>1949</v>
      </c>
      <c r="H252" s="5">
        <f t="shared" si="1"/>
        <v>7</v>
      </c>
      <c r="I252" s="3" t="s">
        <v>16</v>
      </c>
      <c r="J252" s="5">
        <v>0</v>
      </c>
      <c r="K252" s="3" t="s">
        <v>741</v>
      </c>
      <c r="L252" s="3" t="s">
        <v>10</v>
      </c>
      <c r="M252" s="3" t="s">
        <v>400</v>
      </c>
      <c r="N252" s="7" t="s">
        <v>401</v>
      </c>
    </row>
    <row r="253" spans="1:14" x14ac:dyDescent="0.35">
      <c r="A253" s="4" t="s">
        <v>398</v>
      </c>
      <c r="B253" s="3" t="s">
        <v>452</v>
      </c>
      <c r="C253" s="3" t="s">
        <v>31</v>
      </c>
      <c r="D253" s="5">
        <v>54.561858999999998</v>
      </c>
      <c r="E253" s="5">
        <v>-130.4332</v>
      </c>
      <c r="F253" s="3">
        <v>1911</v>
      </c>
      <c r="G253" s="3">
        <v>1919</v>
      </c>
      <c r="H253" s="5">
        <f t="shared" si="1"/>
        <v>9</v>
      </c>
      <c r="I253" s="3" t="s">
        <v>16</v>
      </c>
      <c r="J253" s="5">
        <v>0</v>
      </c>
      <c r="K253" s="3" t="s">
        <v>741</v>
      </c>
      <c r="L253" s="3" t="s">
        <v>10</v>
      </c>
      <c r="M253" s="3" t="s">
        <v>400</v>
      </c>
      <c r="N253" s="7" t="s">
        <v>401</v>
      </c>
    </row>
    <row r="254" spans="1:14" x14ac:dyDescent="0.35">
      <c r="A254" s="4" t="s">
        <v>398</v>
      </c>
      <c r="B254" s="3" t="s">
        <v>453</v>
      </c>
      <c r="C254" s="3" t="s">
        <v>31</v>
      </c>
      <c r="D254" s="5">
        <v>45.565617000000003</v>
      </c>
      <c r="E254" s="5">
        <v>-122.43770600000001</v>
      </c>
      <c r="F254" s="3">
        <v>1941</v>
      </c>
      <c r="G254" s="3">
        <v>1943</v>
      </c>
      <c r="H254" s="5">
        <f t="shared" si="1"/>
        <v>3</v>
      </c>
      <c r="I254" s="3" t="s">
        <v>16</v>
      </c>
      <c r="J254" s="5">
        <v>0</v>
      </c>
      <c r="K254" s="3" t="s">
        <v>741</v>
      </c>
      <c r="L254" s="3" t="s">
        <v>10</v>
      </c>
      <c r="M254" s="3" t="s">
        <v>400</v>
      </c>
      <c r="N254" s="7" t="s">
        <v>401</v>
      </c>
    </row>
    <row r="255" spans="1:14" x14ac:dyDescent="0.35">
      <c r="A255" s="4" t="s">
        <v>454</v>
      </c>
      <c r="B255" s="3" t="s">
        <v>455</v>
      </c>
      <c r="C255" s="3" t="s">
        <v>31</v>
      </c>
      <c r="D255" s="5">
        <v>42.368887000000001</v>
      </c>
      <c r="E255" s="5">
        <v>-71.051850000000002</v>
      </c>
      <c r="F255" s="3">
        <v>1921</v>
      </c>
      <c r="G255" s="3">
        <v>2018</v>
      </c>
      <c r="H255" s="5">
        <f t="shared" si="1"/>
        <v>98</v>
      </c>
      <c r="I255" s="3" t="s">
        <v>16</v>
      </c>
      <c r="J255" s="5">
        <v>0</v>
      </c>
      <c r="K255" s="3" t="s">
        <v>261</v>
      </c>
      <c r="L255" s="3" t="s">
        <v>10</v>
      </c>
      <c r="M255" s="3" t="s">
        <v>400</v>
      </c>
      <c r="N255" s="6" t="s">
        <v>456</v>
      </c>
    </row>
    <row r="256" spans="1:14" x14ac:dyDescent="0.35">
      <c r="A256" s="4" t="s">
        <v>454</v>
      </c>
      <c r="B256" s="3" t="s">
        <v>457</v>
      </c>
      <c r="C256" s="3" t="s">
        <v>31</v>
      </c>
      <c r="D256" s="5">
        <v>42.371845</v>
      </c>
      <c r="E256" s="5">
        <v>-71.054156000000006</v>
      </c>
      <c r="F256" s="3">
        <v>1825</v>
      </c>
      <c r="G256" s="3">
        <v>1827</v>
      </c>
      <c r="H256" s="5">
        <f t="shared" si="1"/>
        <v>3</v>
      </c>
      <c r="I256" s="3" t="s">
        <v>16</v>
      </c>
      <c r="J256" s="5">
        <v>0</v>
      </c>
      <c r="K256" s="3" t="s">
        <v>741</v>
      </c>
      <c r="L256" s="3" t="s">
        <v>10</v>
      </c>
      <c r="M256" s="3" t="s">
        <v>400</v>
      </c>
      <c r="N256" s="6" t="s">
        <v>456</v>
      </c>
    </row>
    <row r="257" spans="1:22" x14ac:dyDescent="0.35">
      <c r="A257" s="4" t="s">
        <v>454</v>
      </c>
      <c r="B257" s="3" t="s">
        <v>458</v>
      </c>
      <c r="C257" s="3" t="s">
        <v>31</v>
      </c>
      <c r="D257" s="5">
        <v>42.371845</v>
      </c>
      <c r="E257" s="5">
        <v>-71.054156000000006</v>
      </c>
      <c r="F257" s="3">
        <v>1902</v>
      </c>
      <c r="G257" s="3">
        <v>1911</v>
      </c>
      <c r="H257" s="5">
        <f t="shared" si="1"/>
        <v>10</v>
      </c>
      <c r="I257" s="3" t="s">
        <v>16</v>
      </c>
      <c r="J257" s="5">
        <v>0</v>
      </c>
      <c r="K257" s="3" t="s">
        <v>741</v>
      </c>
      <c r="L257" s="3" t="s">
        <v>10</v>
      </c>
      <c r="M257" s="3" t="s">
        <v>400</v>
      </c>
      <c r="N257" s="6" t="s">
        <v>456</v>
      </c>
    </row>
    <row r="258" spans="1:22" x14ac:dyDescent="0.35">
      <c r="A258" s="4" t="s">
        <v>454</v>
      </c>
      <c r="B258" s="3" t="s">
        <v>459</v>
      </c>
      <c r="C258" s="3" t="s">
        <v>31</v>
      </c>
      <c r="D258" s="5">
        <v>42.371845</v>
      </c>
      <c r="E258" s="5">
        <v>-71.054156000000006</v>
      </c>
      <c r="F258" s="3">
        <v>1847</v>
      </c>
      <c r="G258" s="3">
        <v>1877</v>
      </c>
      <c r="H258" s="5">
        <f t="shared" si="1"/>
        <v>31</v>
      </c>
      <c r="I258" s="3" t="s">
        <v>16</v>
      </c>
      <c r="J258" s="5">
        <v>0</v>
      </c>
      <c r="K258" s="3" t="s">
        <v>261</v>
      </c>
      <c r="L258" s="3" t="s">
        <v>10</v>
      </c>
      <c r="M258" s="3" t="s">
        <v>400</v>
      </c>
      <c r="N258" s="6" t="s">
        <v>456</v>
      </c>
    </row>
    <row r="259" spans="1:22" x14ac:dyDescent="0.35">
      <c r="A259" s="4" t="s">
        <v>454</v>
      </c>
      <c r="B259" s="3" t="s">
        <v>460</v>
      </c>
      <c r="C259" s="3" t="s">
        <v>31</v>
      </c>
      <c r="D259" s="5">
        <v>42.371845</v>
      </c>
      <c r="E259" s="5">
        <v>-71.054156000000006</v>
      </c>
      <c r="F259" s="3">
        <v>1830</v>
      </c>
      <c r="G259" s="3">
        <v>1833</v>
      </c>
      <c r="H259" s="5">
        <f t="shared" si="1"/>
        <v>4</v>
      </c>
      <c r="I259" s="3" t="s">
        <v>16</v>
      </c>
      <c r="J259" s="5">
        <v>0</v>
      </c>
      <c r="K259" s="3" t="s">
        <v>741</v>
      </c>
      <c r="L259" s="3" t="s">
        <v>10</v>
      </c>
      <c r="M259" s="3" t="s">
        <v>400</v>
      </c>
      <c r="N259" s="6" t="s">
        <v>456</v>
      </c>
    </row>
    <row r="260" spans="1:22" x14ac:dyDescent="0.35">
      <c r="A260" s="4" t="s">
        <v>461</v>
      </c>
      <c r="B260" s="3" t="s">
        <v>462</v>
      </c>
      <c r="C260" s="3" t="s">
        <v>31</v>
      </c>
      <c r="D260" s="5">
        <v>42.609319999999997</v>
      </c>
      <c r="E260" s="5">
        <v>-73.760182999999998</v>
      </c>
      <c r="F260" s="3">
        <v>1868</v>
      </c>
      <c r="G260" s="3">
        <v>2018</v>
      </c>
      <c r="H260" s="5">
        <f t="shared" si="1"/>
        <v>151</v>
      </c>
      <c r="I260" s="3" t="s">
        <v>16</v>
      </c>
      <c r="J260" s="5">
        <v>0</v>
      </c>
      <c r="K260" s="3" t="s">
        <v>741</v>
      </c>
      <c r="L260" s="3" t="s">
        <v>10</v>
      </c>
      <c r="M260" s="3" t="s">
        <v>137</v>
      </c>
      <c r="N260" s="6" t="s">
        <v>463</v>
      </c>
    </row>
    <row r="261" spans="1:22" x14ac:dyDescent="0.35">
      <c r="A261" s="4" t="s">
        <v>464</v>
      </c>
      <c r="B261" s="3" t="s">
        <v>465</v>
      </c>
      <c r="C261" s="3" t="s">
        <v>94</v>
      </c>
      <c r="D261" s="5">
        <v>40.673825000000001</v>
      </c>
      <c r="E261" s="5">
        <v>-74.139246999999997</v>
      </c>
      <c r="F261" s="3">
        <v>1979</v>
      </c>
      <c r="G261" s="3">
        <v>1982</v>
      </c>
      <c r="H261" s="5">
        <f t="shared" si="1"/>
        <v>4</v>
      </c>
      <c r="I261" s="3" t="s">
        <v>16</v>
      </c>
      <c r="J261" s="5">
        <v>0</v>
      </c>
      <c r="K261" s="3" t="s">
        <v>741</v>
      </c>
      <c r="L261" s="3" t="s">
        <v>10</v>
      </c>
      <c r="M261" s="3" t="s">
        <v>32</v>
      </c>
      <c r="N261" s="6" t="s">
        <v>466</v>
      </c>
    </row>
    <row r="262" spans="1:22" x14ac:dyDescent="0.35">
      <c r="A262" s="4" t="s">
        <v>464</v>
      </c>
      <c r="B262" s="3" t="s">
        <v>467</v>
      </c>
      <c r="C262" s="3" t="s">
        <v>31</v>
      </c>
      <c r="D262" s="5">
        <v>40.689436999999998</v>
      </c>
      <c r="E262" s="5">
        <v>-74.136499999999998</v>
      </c>
      <c r="F262" s="3">
        <v>1919</v>
      </c>
      <c r="G262" s="3">
        <v>1952</v>
      </c>
      <c r="H262" s="5">
        <f t="shared" si="1"/>
        <v>2</v>
      </c>
      <c r="I262" s="3" t="s">
        <v>468</v>
      </c>
      <c r="J262" s="5">
        <v>32</v>
      </c>
      <c r="K262" s="3" t="s">
        <v>741</v>
      </c>
      <c r="L262" s="3" t="s">
        <v>10</v>
      </c>
      <c r="M262" s="3" t="s">
        <v>32</v>
      </c>
      <c r="N262" s="6" t="s">
        <v>466</v>
      </c>
    </row>
    <row r="263" spans="1:22" x14ac:dyDescent="0.35">
      <c r="A263" s="4" t="s">
        <v>464</v>
      </c>
      <c r="B263" s="3" t="s">
        <v>469</v>
      </c>
      <c r="C263" s="3" t="s">
        <v>31</v>
      </c>
      <c r="D263" s="5">
        <v>40.854368000000001</v>
      </c>
      <c r="E263" s="5">
        <v>-74.119989000000004</v>
      </c>
      <c r="F263" s="3">
        <v>1939</v>
      </c>
      <c r="G263" s="3">
        <v>1958</v>
      </c>
      <c r="H263" s="5">
        <f t="shared" si="1"/>
        <v>2</v>
      </c>
      <c r="I263" s="3" t="s">
        <v>470</v>
      </c>
      <c r="J263" s="5">
        <v>18</v>
      </c>
      <c r="K263" s="3" t="s">
        <v>741</v>
      </c>
      <c r="L263" s="3" t="s">
        <v>10</v>
      </c>
      <c r="M263" s="3" t="s">
        <v>32</v>
      </c>
      <c r="N263" s="6" t="s">
        <v>466</v>
      </c>
    </row>
    <row r="264" spans="1:22" x14ac:dyDescent="0.35">
      <c r="A264" s="4" t="s">
        <v>464</v>
      </c>
      <c r="B264" s="3" t="s">
        <v>471</v>
      </c>
      <c r="C264" s="3" t="s">
        <v>31</v>
      </c>
      <c r="D264" s="5">
        <v>40.786419000000002</v>
      </c>
      <c r="E264" s="5">
        <v>-74.147915999999995</v>
      </c>
      <c r="F264" s="3">
        <v>1932</v>
      </c>
      <c r="G264" s="3">
        <v>1932</v>
      </c>
      <c r="H264" s="5">
        <f t="shared" si="1"/>
        <v>1</v>
      </c>
      <c r="I264" s="3" t="s">
        <v>16</v>
      </c>
      <c r="J264" s="5">
        <v>0</v>
      </c>
      <c r="K264" s="3" t="s">
        <v>741</v>
      </c>
      <c r="L264" s="3" t="s">
        <v>10</v>
      </c>
      <c r="M264" s="3" t="s">
        <v>32</v>
      </c>
      <c r="N264" s="6" t="s">
        <v>466</v>
      </c>
    </row>
    <row r="265" spans="1:22" x14ac:dyDescent="0.35">
      <c r="A265" s="4" t="s">
        <v>464</v>
      </c>
      <c r="B265" s="3" t="s">
        <v>472</v>
      </c>
      <c r="C265" s="3" t="s">
        <v>31</v>
      </c>
      <c r="D265" s="5">
        <v>40.655414999999998</v>
      </c>
      <c r="E265" s="5">
        <v>-74.085870999999997</v>
      </c>
      <c r="F265" s="3">
        <v>1952</v>
      </c>
      <c r="G265" s="3">
        <v>1952</v>
      </c>
      <c r="H265" s="5">
        <f t="shared" si="1"/>
        <v>1</v>
      </c>
      <c r="I265" s="3" t="s">
        <v>16</v>
      </c>
      <c r="J265" s="5">
        <v>0</v>
      </c>
      <c r="K265" s="3" t="s">
        <v>741</v>
      </c>
      <c r="L265" s="3" t="s">
        <v>10</v>
      </c>
      <c r="M265" s="3" t="s">
        <v>32</v>
      </c>
      <c r="N265" s="6" t="s">
        <v>466</v>
      </c>
    </row>
    <row r="266" spans="1:22" x14ac:dyDescent="0.35">
      <c r="A266" s="4" t="s">
        <v>464</v>
      </c>
      <c r="B266" s="3" t="s">
        <v>473</v>
      </c>
      <c r="C266" s="3" t="s">
        <v>31</v>
      </c>
      <c r="D266" s="5">
        <v>40.641103000000001</v>
      </c>
      <c r="E266" s="5">
        <v>-74.072950000000006</v>
      </c>
      <c r="F266" s="3">
        <v>1918</v>
      </c>
      <c r="G266" s="3">
        <v>1918</v>
      </c>
      <c r="H266" s="5">
        <f t="shared" si="1"/>
        <v>1</v>
      </c>
      <c r="I266" s="3" t="s">
        <v>16</v>
      </c>
      <c r="J266" s="5">
        <v>0</v>
      </c>
      <c r="K266" s="3" t="s">
        <v>741</v>
      </c>
      <c r="L266" s="3" t="s">
        <v>10</v>
      </c>
      <c r="M266" s="3" t="s">
        <v>32</v>
      </c>
      <c r="N266" s="6" t="s">
        <v>466</v>
      </c>
    </row>
    <row r="267" spans="1:22" x14ac:dyDescent="0.35">
      <c r="A267" s="4" t="s">
        <v>464</v>
      </c>
      <c r="B267" s="3" t="s">
        <v>266</v>
      </c>
      <c r="C267" s="3" t="s">
        <v>31</v>
      </c>
      <c r="D267" s="5">
        <v>40.606189000000001</v>
      </c>
      <c r="E267" s="5">
        <v>-74.032483999999997</v>
      </c>
      <c r="F267" s="3">
        <v>1952</v>
      </c>
      <c r="G267" s="3">
        <v>1952</v>
      </c>
      <c r="H267" s="5">
        <f t="shared" si="1"/>
        <v>1</v>
      </c>
      <c r="I267" s="3" t="s">
        <v>16</v>
      </c>
      <c r="J267" s="5">
        <v>0</v>
      </c>
      <c r="K267" s="3" t="s">
        <v>741</v>
      </c>
      <c r="L267" s="3" t="s">
        <v>10</v>
      </c>
      <c r="M267" s="3" t="s">
        <v>32</v>
      </c>
      <c r="N267" s="6" t="s">
        <v>466</v>
      </c>
    </row>
    <row r="268" spans="1:22" s="12" customFormat="1" x14ac:dyDescent="0.35">
      <c r="A268" s="23" t="s">
        <v>474</v>
      </c>
      <c r="B268" s="24" t="s">
        <v>475</v>
      </c>
      <c r="C268" s="3" t="s">
        <v>154</v>
      </c>
      <c r="D268" s="5">
        <v>44.487842999999998</v>
      </c>
      <c r="E268" s="15">
        <v>12.273384</v>
      </c>
      <c r="F268" s="12">
        <v>1873</v>
      </c>
      <c r="G268" s="12">
        <v>1934</v>
      </c>
      <c r="H268" s="5">
        <f t="shared" si="1"/>
        <v>50</v>
      </c>
      <c r="I268" s="12" t="s">
        <v>476</v>
      </c>
      <c r="J268" s="15">
        <v>12</v>
      </c>
      <c r="K268" s="12" t="s">
        <v>741</v>
      </c>
      <c r="L268" s="3" t="s">
        <v>10</v>
      </c>
      <c r="M268" s="3" t="s">
        <v>137</v>
      </c>
      <c r="N268" s="6" t="s">
        <v>477</v>
      </c>
      <c r="O268" s="17"/>
      <c r="P268" s="17"/>
      <c r="Q268" s="17"/>
      <c r="R268" s="17"/>
      <c r="S268" s="17"/>
      <c r="T268" s="17"/>
      <c r="U268" s="17"/>
      <c r="V268" s="17"/>
    </row>
    <row r="269" spans="1:22" s="12" customFormat="1" x14ac:dyDescent="0.35">
      <c r="A269" s="23" t="s">
        <v>474</v>
      </c>
      <c r="B269" s="24" t="s">
        <v>478</v>
      </c>
      <c r="C269" s="3" t="s">
        <v>154</v>
      </c>
      <c r="D269" s="5">
        <v>44.492660999999998</v>
      </c>
      <c r="E269" s="15">
        <v>12.286345000000001</v>
      </c>
      <c r="F269" s="12">
        <v>1934</v>
      </c>
      <c r="G269" s="12">
        <v>1957</v>
      </c>
      <c r="H269" s="5">
        <f t="shared" si="1"/>
        <v>21</v>
      </c>
      <c r="I269" s="12" t="s">
        <v>479</v>
      </c>
      <c r="J269" s="15">
        <v>3</v>
      </c>
      <c r="K269" s="12" t="s">
        <v>261</v>
      </c>
      <c r="L269" s="12" t="s">
        <v>32</v>
      </c>
      <c r="M269" s="3" t="s">
        <v>137</v>
      </c>
      <c r="N269" s="6" t="s">
        <v>477</v>
      </c>
      <c r="O269" s="17"/>
      <c r="P269" s="17"/>
      <c r="Q269" s="17"/>
      <c r="R269" s="17"/>
      <c r="S269" s="17"/>
      <c r="T269" s="17"/>
      <c r="U269" s="17"/>
      <c r="V269" s="17"/>
    </row>
    <row r="270" spans="1:22" s="12" customFormat="1" x14ac:dyDescent="0.35">
      <c r="A270" s="23" t="s">
        <v>474</v>
      </c>
      <c r="B270" s="24" t="s">
        <v>480</v>
      </c>
      <c r="C270" s="3" t="s">
        <v>154</v>
      </c>
      <c r="D270" s="5">
        <v>44.492125999999999</v>
      </c>
      <c r="E270" s="15">
        <v>12.283148000000001</v>
      </c>
      <c r="F270" s="12">
        <v>1957</v>
      </c>
      <c r="G270" s="12">
        <v>1986</v>
      </c>
      <c r="H270" s="5">
        <f t="shared" si="1"/>
        <v>30</v>
      </c>
      <c r="I270" s="12" t="s">
        <v>16</v>
      </c>
      <c r="J270" s="15">
        <v>0</v>
      </c>
      <c r="K270" s="12" t="s">
        <v>261</v>
      </c>
      <c r="L270" s="12" t="s">
        <v>32</v>
      </c>
      <c r="M270" s="3" t="s">
        <v>137</v>
      </c>
      <c r="N270" s="6" t="s">
        <v>477</v>
      </c>
      <c r="O270" s="17"/>
      <c r="P270" s="17"/>
      <c r="Q270" s="17"/>
      <c r="R270" s="17"/>
      <c r="S270" s="17"/>
      <c r="T270" s="17"/>
      <c r="U270" s="17"/>
      <c r="V270" s="17"/>
    </row>
    <row r="271" spans="1:22" s="12" customFormat="1" x14ac:dyDescent="0.35">
      <c r="A271" s="23" t="s">
        <v>481</v>
      </c>
      <c r="B271" s="3" t="s">
        <v>399</v>
      </c>
      <c r="C271" s="3" t="s">
        <v>31</v>
      </c>
      <c r="D271" s="5">
        <v>44.904693999999999</v>
      </c>
      <c r="E271" s="5">
        <v>-66.982954000000007</v>
      </c>
      <c r="F271" s="12">
        <v>1860</v>
      </c>
      <c r="G271" s="12">
        <v>1890</v>
      </c>
      <c r="H271" s="5">
        <f t="shared" si="1"/>
        <v>7</v>
      </c>
      <c r="I271" s="12" t="s">
        <v>482</v>
      </c>
      <c r="J271" s="15">
        <v>24</v>
      </c>
      <c r="K271" s="12" t="s">
        <v>741</v>
      </c>
      <c r="L271" s="12" t="s">
        <v>32</v>
      </c>
      <c r="M271" s="3" t="s">
        <v>483</v>
      </c>
      <c r="N271" s="7" t="s">
        <v>484</v>
      </c>
      <c r="O271" s="17"/>
      <c r="P271" s="17"/>
      <c r="Q271" s="17"/>
      <c r="R271" s="17"/>
      <c r="S271" s="17"/>
      <c r="T271" s="17"/>
      <c r="U271" s="17"/>
      <c r="V271" s="17"/>
    </row>
    <row r="272" spans="1:22" s="12" customFormat="1" x14ac:dyDescent="0.35">
      <c r="A272" s="23" t="s">
        <v>481</v>
      </c>
      <c r="B272" s="24" t="s">
        <v>443</v>
      </c>
      <c r="C272" s="3" t="s">
        <v>31</v>
      </c>
      <c r="D272" s="5">
        <v>43.658025000000002</v>
      </c>
      <c r="E272" s="5">
        <v>-70.244313000000005</v>
      </c>
      <c r="F272" s="12">
        <v>1864</v>
      </c>
      <c r="G272" s="12">
        <v>1866</v>
      </c>
      <c r="H272" s="5">
        <f t="shared" ref="H272:H339" si="2">(1+(G272-F272))-J272</f>
        <v>1.42</v>
      </c>
      <c r="I272" s="12" t="s">
        <v>485</v>
      </c>
      <c r="J272" s="15">
        <v>1.58</v>
      </c>
      <c r="K272" s="12" t="s">
        <v>741</v>
      </c>
      <c r="L272" s="12" t="s">
        <v>32</v>
      </c>
      <c r="M272" s="3" t="s">
        <v>486</v>
      </c>
      <c r="N272" s="7" t="s">
        <v>484</v>
      </c>
      <c r="O272" s="17"/>
      <c r="P272" s="17"/>
      <c r="Q272" s="17"/>
      <c r="R272" s="17"/>
      <c r="S272" s="17"/>
      <c r="T272" s="17"/>
      <c r="U272" s="17"/>
      <c r="V272" s="17"/>
    </row>
    <row r="273" spans="1:22" s="12" customFormat="1" x14ac:dyDescent="0.35">
      <c r="A273" s="23" t="s">
        <v>481</v>
      </c>
      <c r="B273" s="3" t="s">
        <v>402</v>
      </c>
      <c r="C273" s="3" t="s">
        <v>31</v>
      </c>
      <c r="D273" s="5">
        <v>44.157705999999997</v>
      </c>
      <c r="E273" s="5">
        <v>-68.874179999999996</v>
      </c>
      <c r="F273" s="3">
        <v>1870</v>
      </c>
      <c r="G273" s="3">
        <v>1946</v>
      </c>
      <c r="H273" s="5">
        <f t="shared" si="2"/>
        <v>8.9000000000000057</v>
      </c>
      <c r="I273" s="12" t="s">
        <v>487</v>
      </c>
      <c r="J273" s="15">
        <v>68.099999999999994</v>
      </c>
      <c r="K273" s="12" t="s">
        <v>16</v>
      </c>
      <c r="L273" s="12" t="s">
        <v>32</v>
      </c>
      <c r="M273" s="3" t="s">
        <v>488</v>
      </c>
      <c r="N273" s="7" t="s">
        <v>484</v>
      </c>
      <c r="O273" s="17"/>
      <c r="P273" s="17"/>
      <c r="Q273" s="17"/>
      <c r="R273" s="17"/>
      <c r="S273" s="17"/>
      <c r="T273" s="17"/>
      <c r="U273" s="17"/>
      <c r="V273" s="17"/>
    </row>
    <row r="274" spans="1:22" x14ac:dyDescent="0.35">
      <c r="A274" s="4" t="s">
        <v>489</v>
      </c>
      <c r="B274" s="3" t="s">
        <v>490</v>
      </c>
      <c r="C274" s="3" t="s">
        <v>53</v>
      </c>
      <c r="D274" s="5">
        <v>60.154031000000003</v>
      </c>
      <c r="E274" s="5">
        <v>-1.140441</v>
      </c>
      <c r="F274" s="3">
        <v>1956</v>
      </c>
      <c r="G274" s="3">
        <v>2018</v>
      </c>
      <c r="H274" s="5">
        <f t="shared" si="2"/>
        <v>63</v>
      </c>
      <c r="I274" s="12" t="s">
        <v>16</v>
      </c>
      <c r="J274" s="15">
        <v>0</v>
      </c>
      <c r="K274" s="12" t="s">
        <v>261</v>
      </c>
      <c r="L274" s="3" t="s">
        <v>10</v>
      </c>
      <c r="M274" s="3" t="s">
        <v>279</v>
      </c>
      <c r="N274" s="6" t="s">
        <v>491</v>
      </c>
    </row>
    <row r="275" spans="1:22" x14ac:dyDescent="0.35">
      <c r="A275" s="4" t="s">
        <v>489</v>
      </c>
      <c r="B275" s="3" t="s">
        <v>492</v>
      </c>
      <c r="C275" s="3" t="s">
        <v>53</v>
      </c>
      <c r="D275" s="5">
        <v>58.439430000000002</v>
      </c>
      <c r="E275" s="5">
        <v>-3.0828389999999999</v>
      </c>
      <c r="F275" s="3">
        <v>1964</v>
      </c>
      <c r="G275" s="3">
        <v>2018</v>
      </c>
      <c r="H275" s="5">
        <f t="shared" si="2"/>
        <v>55</v>
      </c>
      <c r="I275" s="12" t="s">
        <v>16</v>
      </c>
      <c r="J275" s="15">
        <v>0</v>
      </c>
      <c r="K275" s="12" t="s">
        <v>261</v>
      </c>
      <c r="L275" s="3" t="s">
        <v>10</v>
      </c>
      <c r="M275" s="3" t="s">
        <v>279</v>
      </c>
      <c r="N275" s="6" t="s">
        <v>491</v>
      </c>
    </row>
    <row r="276" spans="1:22" x14ac:dyDescent="0.35">
      <c r="A276" s="4" t="s">
        <v>751</v>
      </c>
      <c r="B276" s="3" t="s">
        <v>493</v>
      </c>
      <c r="C276" s="3" t="s">
        <v>53</v>
      </c>
      <c r="D276" s="5">
        <v>57.685696</v>
      </c>
      <c r="E276" s="5">
        <v>-4.1674600000000002</v>
      </c>
      <c r="F276" s="3">
        <v>1959</v>
      </c>
      <c r="G276" s="3">
        <v>1971</v>
      </c>
      <c r="H276" s="5">
        <f t="shared" si="2"/>
        <v>13</v>
      </c>
      <c r="I276" s="12" t="s">
        <v>16</v>
      </c>
      <c r="J276" s="15">
        <v>0</v>
      </c>
      <c r="K276" s="12" t="s">
        <v>261</v>
      </c>
      <c r="L276" s="3" t="s">
        <v>10</v>
      </c>
      <c r="M276" s="3" t="s">
        <v>279</v>
      </c>
      <c r="N276" s="6" t="s">
        <v>491</v>
      </c>
    </row>
    <row r="277" spans="1:22" x14ac:dyDescent="0.35">
      <c r="A277" s="4" t="s">
        <v>751</v>
      </c>
      <c r="B277" s="3" t="s">
        <v>494</v>
      </c>
      <c r="C277" s="3" t="s">
        <v>53</v>
      </c>
      <c r="D277" s="8">
        <v>57.144055999999999</v>
      </c>
      <c r="E277" s="5">
        <v>-2.0773609999999998</v>
      </c>
      <c r="F277" s="3">
        <v>1931</v>
      </c>
      <c r="G277" s="3">
        <v>2018</v>
      </c>
      <c r="H277" s="5">
        <f t="shared" si="2"/>
        <v>88</v>
      </c>
      <c r="I277" s="12" t="s">
        <v>16</v>
      </c>
      <c r="J277" s="15">
        <v>0</v>
      </c>
      <c r="K277" s="12" t="s">
        <v>261</v>
      </c>
      <c r="L277" s="3" t="s">
        <v>10</v>
      </c>
      <c r="M277" s="3" t="s">
        <v>279</v>
      </c>
      <c r="N277" s="6" t="s">
        <v>491</v>
      </c>
    </row>
    <row r="278" spans="1:22" x14ac:dyDescent="0.35">
      <c r="A278" s="4" t="s">
        <v>751</v>
      </c>
      <c r="B278" s="3" t="s">
        <v>495</v>
      </c>
      <c r="C278" s="3" t="s">
        <v>53</v>
      </c>
      <c r="D278" s="8">
        <v>56.016666999999998</v>
      </c>
      <c r="E278" s="5">
        <v>-3.45</v>
      </c>
      <c r="F278" s="3">
        <v>1964</v>
      </c>
      <c r="G278" s="3">
        <v>1993</v>
      </c>
      <c r="H278" s="5">
        <f t="shared" si="2"/>
        <v>30</v>
      </c>
      <c r="I278" s="12" t="s">
        <v>16</v>
      </c>
      <c r="J278" s="15">
        <v>0</v>
      </c>
      <c r="K278" s="12" t="s">
        <v>261</v>
      </c>
      <c r="L278" s="3" t="s">
        <v>10</v>
      </c>
      <c r="M278" s="3" t="s">
        <v>279</v>
      </c>
      <c r="N278" s="6" t="s">
        <v>491</v>
      </c>
    </row>
    <row r="279" spans="1:22" x14ac:dyDescent="0.35">
      <c r="A279" s="4" t="s">
        <v>751</v>
      </c>
      <c r="B279" s="3" t="s">
        <v>496</v>
      </c>
      <c r="C279" s="3" t="s">
        <v>53</v>
      </c>
      <c r="D279" s="8">
        <v>55.983333000000002</v>
      </c>
      <c r="E279" s="5">
        <v>-3.1666669999999999</v>
      </c>
      <c r="F279" s="3">
        <v>1956</v>
      </c>
      <c r="G279" s="3">
        <v>1971</v>
      </c>
      <c r="H279" s="5">
        <f t="shared" si="2"/>
        <v>16</v>
      </c>
      <c r="I279" s="12" t="s">
        <v>16</v>
      </c>
      <c r="J279" s="15">
        <v>0</v>
      </c>
      <c r="K279" s="12" t="s">
        <v>261</v>
      </c>
      <c r="L279" s="3" t="s">
        <v>10</v>
      </c>
      <c r="M279" s="3" t="s">
        <v>279</v>
      </c>
      <c r="N279" s="6" t="s">
        <v>491</v>
      </c>
    </row>
    <row r="280" spans="1:22" x14ac:dyDescent="0.35">
      <c r="A280" s="4" t="s">
        <v>751</v>
      </c>
      <c r="B280" s="3" t="s">
        <v>497</v>
      </c>
      <c r="C280" s="3" t="s">
        <v>53</v>
      </c>
      <c r="D280" s="8">
        <v>55.116667</v>
      </c>
      <c r="E280" s="5">
        <v>-1.483333</v>
      </c>
      <c r="F280" s="3">
        <v>1955</v>
      </c>
      <c r="G280" s="3">
        <v>1987</v>
      </c>
      <c r="H280" s="5">
        <f t="shared" si="2"/>
        <v>33</v>
      </c>
      <c r="I280" s="12" t="s">
        <v>16</v>
      </c>
      <c r="J280" s="15">
        <v>0</v>
      </c>
      <c r="K280" s="12" t="s">
        <v>261</v>
      </c>
      <c r="L280" s="3" t="s">
        <v>10</v>
      </c>
      <c r="M280" s="3" t="s">
        <v>279</v>
      </c>
      <c r="N280" s="6" t="s">
        <v>491</v>
      </c>
    </row>
    <row r="281" spans="1:22" x14ac:dyDescent="0.35">
      <c r="A281" s="4" t="s">
        <v>751</v>
      </c>
      <c r="B281" s="3" t="s">
        <v>498</v>
      </c>
      <c r="C281" s="3" t="s">
        <v>53</v>
      </c>
      <c r="D281" s="8">
        <v>55.007444</v>
      </c>
      <c r="E281" s="5">
        <v>-1.439778</v>
      </c>
      <c r="F281" s="3">
        <v>1895</v>
      </c>
      <c r="G281" s="3">
        <v>2018</v>
      </c>
      <c r="H281" s="5">
        <f t="shared" si="2"/>
        <v>124</v>
      </c>
      <c r="I281" s="12" t="s">
        <v>16</v>
      </c>
      <c r="J281" s="15">
        <v>0</v>
      </c>
      <c r="K281" s="12" t="s">
        <v>261</v>
      </c>
      <c r="L281" s="3" t="s">
        <v>10</v>
      </c>
      <c r="M281" s="3" t="s">
        <v>279</v>
      </c>
      <c r="N281" s="6" t="s">
        <v>491</v>
      </c>
    </row>
    <row r="282" spans="1:22" x14ac:dyDescent="0.35">
      <c r="A282" s="4" t="s">
        <v>751</v>
      </c>
      <c r="B282" s="3" t="s">
        <v>499</v>
      </c>
      <c r="C282" s="3" t="s">
        <v>53</v>
      </c>
      <c r="D282" s="8">
        <v>54.49</v>
      </c>
      <c r="E282" s="5">
        <v>-0.61469399999999996</v>
      </c>
      <c r="F282" s="3">
        <v>1981</v>
      </c>
      <c r="G282" s="3">
        <v>2018</v>
      </c>
      <c r="H282" s="5">
        <f t="shared" si="2"/>
        <v>38</v>
      </c>
      <c r="I282" s="12" t="s">
        <v>16</v>
      </c>
      <c r="J282" s="15">
        <v>0</v>
      </c>
      <c r="K282" s="12" t="s">
        <v>261</v>
      </c>
      <c r="L282" s="3" t="s">
        <v>10</v>
      </c>
      <c r="M282" s="3" t="s">
        <v>279</v>
      </c>
      <c r="N282" s="6" t="s">
        <v>491</v>
      </c>
    </row>
    <row r="283" spans="1:22" x14ac:dyDescent="0.35">
      <c r="A283" s="4" t="s">
        <v>751</v>
      </c>
      <c r="B283" s="3" t="s">
        <v>500</v>
      </c>
      <c r="C283" s="3" t="s">
        <v>53</v>
      </c>
      <c r="D283" s="8">
        <v>53.630222000000003</v>
      </c>
      <c r="E283" s="5">
        <v>-0.187417</v>
      </c>
      <c r="F283" s="3">
        <v>1959</v>
      </c>
      <c r="G283" s="3">
        <v>2018</v>
      </c>
      <c r="H283" s="5">
        <f t="shared" si="2"/>
        <v>60</v>
      </c>
      <c r="I283" s="12" t="s">
        <v>16</v>
      </c>
      <c r="J283" s="15">
        <v>0</v>
      </c>
      <c r="K283" s="12" t="s">
        <v>261</v>
      </c>
      <c r="L283" s="3" t="s">
        <v>10</v>
      </c>
      <c r="M283" s="3" t="s">
        <v>279</v>
      </c>
      <c r="N283" s="6" t="s">
        <v>491</v>
      </c>
    </row>
    <row r="284" spans="1:22" x14ac:dyDescent="0.35">
      <c r="A284" s="4" t="s">
        <v>751</v>
      </c>
      <c r="B284" s="3" t="s">
        <v>501</v>
      </c>
      <c r="C284" s="3" t="s">
        <v>53</v>
      </c>
      <c r="D284" s="8">
        <v>52.934361000000003</v>
      </c>
      <c r="E284" s="8">
        <v>1.301639</v>
      </c>
      <c r="F284" s="3">
        <v>1988</v>
      </c>
      <c r="G284" s="3">
        <v>2017</v>
      </c>
      <c r="H284" s="5">
        <f t="shared" si="2"/>
        <v>30</v>
      </c>
      <c r="I284" s="12" t="s">
        <v>16</v>
      </c>
      <c r="J284" s="15">
        <v>0</v>
      </c>
      <c r="K284" s="12" t="s">
        <v>261</v>
      </c>
      <c r="L284" s="3" t="s">
        <v>10</v>
      </c>
      <c r="M284" s="3" t="s">
        <v>279</v>
      </c>
      <c r="N284" s="6" t="s">
        <v>491</v>
      </c>
    </row>
    <row r="285" spans="1:22" x14ac:dyDescent="0.35">
      <c r="A285" s="4" t="s">
        <v>751</v>
      </c>
      <c r="B285" s="3" t="s">
        <v>502</v>
      </c>
      <c r="C285" s="3" t="s">
        <v>53</v>
      </c>
      <c r="D285" s="5">
        <v>52.473111000000003</v>
      </c>
      <c r="E285" s="5">
        <v>1.750111</v>
      </c>
      <c r="F285" s="3">
        <v>1955</v>
      </c>
      <c r="G285" s="3">
        <v>2018</v>
      </c>
      <c r="H285" s="5">
        <f t="shared" si="2"/>
        <v>64</v>
      </c>
      <c r="I285" s="12" t="s">
        <v>16</v>
      </c>
      <c r="J285" s="15">
        <v>0</v>
      </c>
      <c r="K285" s="12" t="s">
        <v>261</v>
      </c>
      <c r="L285" s="3" t="s">
        <v>10</v>
      </c>
      <c r="M285" s="3" t="s">
        <v>279</v>
      </c>
      <c r="N285" s="6" t="s">
        <v>491</v>
      </c>
    </row>
    <row r="286" spans="1:22" x14ac:dyDescent="0.35">
      <c r="A286" s="4" t="s">
        <v>751</v>
      </c>
      <c r="B286" s="3" t="s">
        <v>503</v>
      </c>
      <c r="C286" s="3" t="s">
        <v>53</v>
      </c>
      <c r="D286" s="8">
        <v>51.948</v>
      </c>
      <c r="E286" s="8">
        <v>1.2921389999999999</v>
      </c>
      <c r="F286" s="3">
        <v>1960</v>
      </c>
      <c r="G286" s="3">
        <v>1974</v>
      </c>
      <c r="H286" s="5">
        <f t="shared" si="2"/>
        <v>15</v>
      </c>
      <c r="I286" s="12" t="s">
        <v>16</v>
      </c>
      <c r="J286" s="15">
        <v>0</v>
      </c>
      <c r="K286" s="12" t="s">
        <v>261</v>
      </c>
      <c r="L286" s="3" t="s">
        <v>10</v>
      </c>
      <c r="M286" s="3" t="s">
        <v>279</v>
      </c>
      <c r="N286" s="6" t="s">
        <v>491</v>
      </c>
    </row>
    <row r="287" spans="1:22" x14ac:dyDescent="0.35">
      <c r="A287" s="4" t="s">
        <v>751</v>
      </c>
      <c r="B287" s="3" t="s">
        <v>504</v>
      </c>
      <c r="C287" s="3" t="s">
        <v>53</v>
      </c>
      <c r="D287" s="8">
        <v>51.514449999999997</v>
      </c>
      <c r="E287" s="8">
        <v>0.72377999999999998</v>
      </c>
      <c r="F287" s="3">
        <v>1933</v>
      </c>
      <c r="G287" s="3">
        <v>2015</v>
      </c>
      <c r="H287" s="5">
        <f t="shared" si="2"/>
        <v>83</v>
      </c>
      <c r="I287" s="12" t="s">
        <v>16</v>
      </c>
      <c r="J287" s="15">
        <v>0</v>
      </c>
      <c r="K287" s="12" t="s">
        <v>261</v>
      </c>
      <c r="L287" s="3" t="s">
        <v>10</v>
      </c>
      <c r="M287" s="3" t="s">
        <v>279</v>
      </c>
      <c r="N287" s="6" t="s">
        <v>491</v>
      </c>
    </row>
    <row r="288" spans="1:22" x14ac:dyDescent="0.35">
      <c r="A288" s="4" t="s">
        <v>751</v>
      </c>
      <c r="B288" s="3" t="s">
        <v>505</v>
      </c>
      <c r="C288" s="3" t="s">
        <v>53</v>
      </c>
      <c r="D288" s="8">
        <v>51.466667000000001</v>
      </c>
      <c r="E288" s="8">
        <v>0.36666700000000002</v>
      </c>
      <c r="F288" s="3">
        <v>1961</v>
      </c>
      <c r="G288" s="3">
        <v>2013</v>
      </c>
      <c r="H288" s="5">
        <f t="shared" si="2"/>
        <v>53</v>
      </c>
      <c r="I288" s="12" t="s">
        <v>16</v>
      </c>
      <c r="J288" s="15">
        <v>0</v>
      </c>
      <c r="K288" s="12" t="s">
        <v>261</v>
      </c>
      <c r="L288" s="3" t="s">
        <v>10</v>
      </c>
      <c r="M288" s="3" t="s">
        <v>279</v>
      </c>
      <c r="N288" s="6" t="s">
        <v>491</v>
      </c>
    </row>
    <row r="289" spans="1:14" x14ac:dyDescent="0.35">
      <c r="A289" s="4" t="s">
        <v>751</v>
      </c>
      <c r="B289" s="3" t="s">
        <v>506</v>
      </c>
      <c r="C289" s="3" t="s">
        <v>53</v>
      </c>
      <c r="D289" s="8">
        <v>51.5</v>
      </c>
      <c r="E289" s="8">
        <v>8.3333000000000004E-2</v>
      </c>
      <c r="F289" s="3">
        <v>1929</v>
      </c>
      <c r="G289" s="3">
        <v>2013</v>
      </c>
      <c r="H289" s="5">
        <f t="shared" si="2"/>
        <v>85</v>
      </c>
      <c r="I289" s="12" t="s">
        <v>16</v>
      </c>
      <c r="J289" s="15">
        <v>0</v>
      </c>
      <c r="K289" s="12" t="s">
        <v>261</v>
      </c>
      <c r="L289" s="3" t="s">
        <v>10</v>
      </c>
      <c r="M289" s="3" t="s">
        <v>279</v>
      </c>
      <c r="N289" s="6" t="s">
        <v>491</v>
      </c>
    </row>
    <row r="290" spans="1:14" x14ac:dyDescent="0.35">
      <c r="A290" s="4" t="s">
        <v>751</v>
      </c>
      <c r="B290" s="3" t="s">
        <v>507</v>
      </c>
      <c r="C290" s="3" t="s">
        <v>53</v>
      </c>
      <c r="D290" s="8">
        <v>51.445639</v>
      </c>
      <c r="E290" s="8">
        <v>0.74344399999999999</v>
      </c>
      <c r="F290" s="3">
        <v>1832</v>
      </c>
      <c r="G290" s="3">
        <v>2018</v>
      </c>
      <c r="H290" s="5">
        <f t="shared" si="2"/>
        <v>187</v>
      </c>
      <c r="I290" s="12" t="s">
        <v>16</v>
      </c>
      <c r="J290" s="15">
        <v>0</v>
      </c>
      <c r="K290" s="12" t="s">
        <v>261</v>
      </c>
      <c r="L290" s="3" t="s">
        <v>10</v>
      </c>
      <c r="M290" s="3" t="s">
        <v>279</v>
      </c>
      <c r="N290" s="6" t="s">
        <v>491</v>
      </c>
    </row>
    <row r="291" spans="1:14" x14ac:dyDescent="0.35">
      <c r="A291" s="4" t="s">
        <v>751</v>
      </c>
      <c r="B291" s="3" t="s">
        <v>508</v>
      </c>
      <c r="C291" s="3" t="s">
        <v>53</v>
      </c>
      <c r="D291" s="8">
        <v>51.114389000000003</v>
      </c>
      <c r="E291" s="8">
        <v>1.322667</v>
      </c>
      <c r="F291" s="3">
        <v>1961</v>
      </c>
      <c r="G291" s="3">
        <v>2018</v>
      </c>
      <c r="H291" s="5">
        <f t="shared" si="2"/>
        <v>58</v>
      </c>
      <c r="I291" s="12" t="s">
        <v>16</v>
      </c>
      <c r="J291" s="15">
        <v>0</v>
      </c>
      <c r="K291" s="12" t="s">
        <v>261</v>
      </c>
      <c r="L291" s="3" t="s">
        <v>10</v>
      </c>
      <c r="M291" s="3" t="s">
        <v>279</v>
      </c>
      <c r="N291" s="6" t="s">
        <v>491</v>
      </c>
    </row>
    <row r="292" spans="1:14" x14ac:dyDescent="0.35">
      <c r="A292" s="4" t="s">
        <v>751</v>
      </c>
      <c r="B292" s="3" t="s">
        <v>189</v>
      </c>
      <c r="C292" s="3" t="s">
        <v>53</v>
      </c>
      <c r="D292" s="8">
        <v>50.802250000000001</v>
      </c>
      <c r="E292" s="5">
        <v>-1.1112500000000001</v>
      </c>
      <c r="F292" s="3">
        <v>1961</v>
      </c>
      <c r="G292" s="3">
        <v>2018</v>
      </c>
      <c r="H292" s="5">
        <f t="shared" si="2"/>
        <v>58</v>
      </c>
      <c r="I292" s="12" t="s">
        <v>16</v>
      </c>
      <c r="J292" s="15">
        <v>0</v>
      </c>
      <c r="K292" s="12" t="s">
        <v>261</v>
      </c>
      <c r="L292" s="3" t="s">
        <v>10</v>
      </c>
      <c r="M292" s="3" t="s">
        <v>279</v>
      </c>
      <c r="N292" s="6" t="s">
        <v>491</v>
      </c>
    </row>
    <row r="293" spans="1:14" x14ac:dyDescent="0.35">
      <c r="A293" s="4" t="s">
        <v>751</v>
      </c>
      <c r="B293" s="3" t="s">
        <v>187</v>
      </c>
      <c r="C293" s="3" t="s">
        <v>53</v>
      </c>
      <c r="D293" s="5">
        <v>50.9</v>
      </c>
      <c r="E293" s="5">
        <v>-1.3833329999999999</v>
      </c>
      <c r="F293" s="3">
        <v>1924</v>
      </c>
      <c r="G293" s="3">
        <v>1966</v>
      </c>
      <c r="H293" s="5">
        <f t="shared" si="2"/>
        <v>43</v>
      </c>
      <c r="I293" s="12" t="s">
        <v>16</v>
      </c>
      <c r="J293" s="15">
        <v>0</v>
      </c>
      <c r="K293" s="12" t="s">
        <v>261</v>
      </c>
      <c r="L293" s="3" t="s">
        <v>10</v>
      </c>
      <c r="M293" s="3" t="s">
        <v>279</v>
      </c>
      <c r="N293" s="6" t="s">
        <v>491</v>
      </c>
    </row>
    <row r="294" spans="1:14" x14ac:dyDescent="0.35">
      <c r="A294" s="4" t="s">
        <v>751</v>
      </c>
      <c r="B294" s="3" t="s">
        <v>185</v>
      </c>
      <c r="C294" s="3" t="s">
        <v>53</v>
      </c>
      <c r="D294" s="8">
        <v>50.368389000000001</v>
      </c>
      <c r="E294" s="5">
        <v>-4.1852499999999999</v>
      </c>
      <c r="F294" s="3">
        <v>1961</v>
      </c>
      <c r="G294" s="3">
        <v>2018</v>
      </c>
      <c r="H294" s="5">
        <f t="shared" si="2"/>
        <v>58</v>
      </c>
      <c r="I294" s="12" t="s">
        <v>16</v>
      </c>
      <c r="J294" s="15">
        <v>0</v>
      </c>
      <c r="K294" s="12" t="s">
        <v>261</v>
      </c>
      <c r="L294" s="3" t="s">
        <v>10</v>
      </c>
      <c r="M294" s="3" t="s">
        <v>279</v>
      </c>
      <c r="N294" s="6" t="s">
        <v>491</v>
      </c>
    </row>
    <row r="295" spans="1:14" x14ac:dyDescent="0.35">
      <c r="A295" s="4" t="s">
        <v>751</v>
      </c>
      <c r="B295" s="3" t="s">
        <v>509</v>
      </c>
      <c r="C295" s="3" t="s">
        <v>53</v>
      </c>
      <c r="D295" s="8">
        <v>50.103000000000002</v>
      </c>
      <c r="E295" s="5">
        <v>-5.5428329999999999</v>
      </c>
      <c r="F295" s="3">
        <v>1915</v>
      </c>
      <c r="G295" s="3">
        <v>2018</v>
      </c>
      <c r="H295" s="5">
        <f t="shared" si="2"/>
        <v>104</v>
      </c>
      <c r="I295" s="12" t="s">
        <v>16</v>
      </c>
      <c r="J295" s="15">
        <v>0</v>
      </c>
      <c r="K295" s="12" t="s">
        <v>261</v>
      </c>
      <c r="L295" s="3" t="s">
        <v>10</v>
      </c>
      <c r="M295" s="3" t="s">
        <v>279</v>
      </c>
      <c r="N295" s="6" t="s">
        <v>491</v>
      </c>
    </row>
    <row r="296" spans="1:14" x14ac:dyDescent="0.35">
      <c r="A296" s="4" t="s">
        <v>751</v>
      </c>
      <c r="B296" s="3" t="s">
        <v>510</v>
      </c>
      <c r="C296" s="3" t="s">
        <v>53</v>
      </c>
      <c r="D296" s="8">
        <v>51.211139000000003</v>
      </c>
      <c r="E296" s="5">
        <v>-4.1123890000000003</v>
      </c>
      <c r="F296" s="3">
        <v>1983</v>
      </c>
      <c r="G296" s="3">
        <v>2018</v>
      </c>
      <c r="H296" s="5">
        <f t="shared" si="2"/>
        <v>36</v>
      </c>
      <c r="I296" s="12" t="s">
        <v>16</v>
      </c>
      <c r="J296" s="15">
        <v>0</v>
      </c>
      <c r="K296" s="12" t="s">
        <v>261</v>
      </c>
      <c r="L296" s="3" t="s">
        <v>10</v>
      </c>
      <c r="M296" s="3" t="s">
        <v>279</v>
      </c>
      <c r="N296" s="6" t="s">
        <v>491</v>
      </c>
    </row>
    <row r="297" spans="1:14" x14ac:dyDescent="0.35">
      <c r="A297" s="4" t="s">
        <v>751</v>
      </c>
      <c r="B297" s="3" t="s">
        <v>511</v>
      </c>
      <c r="C297" s="3" t="s">
        <v>53</v>
      </c>
      <c r="D297" s="8">
        <v>51.507666999999998</v>
      </c>
      <c r="E297" s="5">
        <v>-2.7127500000000002</v>
      </c>
      <c r="F297" s="3">
        <v>1986</v>
      </c>
      <c r="G297" s="3">
        <v>2000</v>
      </c>
      <c r="H297" s="5">
        <f t="shared" si="2"/>
        <v>15</v>
      </c>
      <c r="I297" s="12" t="s">
        <v>16</v>
      </c>
      <c r="J297" s="15">
        <v>0</v>
      </c>
      <c r="K297" s="12" t="s">
        <v>261</v>
      </c>
      <c r="L297" s="3" t="s">
        <v>10</v>
      </c>
      <c r="M297" s="3" t="s">
        <v>279</v>
      </c>
      <c r="N297" s="6" t="s">
        <v>491</v>
      </c>
    </row>
    <row r="298" spans="1:14" x14ac:dyDescent="0.35">
      <c r="A298" s="4" t="s">
        <v>751</v>
      </c>
      <c r="B298" s="3" t="s">
        <v>512</v>
      </c>
      <c r="C298" s="3" t="s">
        <v>53</v>
      </c>
      <c r="D298" s="8">
        <v>51.616667</v>
      </c>
      <c r="E298" s="5">
        <v>-3.9166669999999999</v>
      </c>
      <c r="F298" s="3">
        <v>1960</v>
      </c>
      <c r="G298" s="3">
        <v>1985</v>
      </c>
      <c r="H298" s="5">
        <f t="shared" si="2"/>
        <v>26</v>
      </c>
      <c r="I298" s="12" t="s">
        <v>16</v>
      </c>
      <c r="J298" s="15">
        <v>0</v>
      </c>
      <c r="K298" s="12" t="s">
        <v>261</v>
      </c>
      <c r="L298" s="3" t="s">
        <v>10</v>
      </c>
      <c r="M298" s="3" t="s">
        <v>279</v>
      </c>
      <c r="N298" s="6" t="s">
        <v>491</v>
      </c>
    </row>
    <row r="299" spans="1:14" x14ac:dyDescent="0.35">
      <c r="A299" s="4" t="s">
        <v>751</v>
      </c>
      <c r="B299" s="3" t="s">
        <v>513</v>
      </c>
      <c r="C299" s="3" t="s">
        <v>53</v>
      </c>
      <c r="D299" s="8">
        <v>51.707388999999999</v>
      </c>
      <c r="E299" s="5">
        <v>-5.0515280000000002</v>
      </c>
      <c r="F299" s="3">
        <v>1987</v>
      </c>
      <c r="G299" s="3">
        <v>2018</v>
      </c>
      <c r="H299" s="5">
        <f t="shared" si="2"/>
        <v>32</v>
      </c>
      <c r="I299" s="12" t="s">
        <v>16</v>
      </c>
      <c r="J299" s="15">
        <v>0</v>
      </c>
      <c r="K299" s="12" t="s">
        <v>261</v>
      </c>
      <c r="L299" s="3" t="s">
        <v>10</v>
      </c>
      <c r="M299" s="3" t="s">
        <v>279</v>
      </c>
      <c r="N299" s="6" t="s">
        <v>491</v>
      </c>
    </row>
    <row r="300" spans="1:14" x14ac:dyDescent="0.35">
      <c r="A300" s="4" t="s">
        <v>751</v>
      </c>
      <c r="B300" s="3" t="s">
        <v>514</v>
      </c>
      <c r="C300" s="3" t="s">
        <v>53</v>
      </c>
      <c r="D300" s="8">
        <v>52.013221999999999</v>
      </c>
      <c r="E300" s="5">
        <v>-4.9837499999999997</v>
      </c>
      <c r="F300" s="3">
        <v>1974</v>
      </c>
      <c r="G300" s="3">
        <v>1986</v>
      </c>
      <c r="H300" s="5">
        <f t="shared" si="2"/>
        <v>13</v>
      </c>
      <c r="I300" s="12" t="s">
        <v>16</v>
      </c>
      <c r="J300" s="15">
        <v>0</v>
      </c>
      <c r="K300" s="12" t="s">
        <v>261</v>
      </c>
      <c r="L300" s="3" t="s">
        <v>10</v>
      </c>
      <c r="M300" s="3" t="s">
        <v>279</v>
      </c>
      <c r="N300" s="6" t="s">
        <v>491</v>
      </c>
    </row>
    <row r="301" spans="1:14" x14ac:dyDescent="0.35">
      <c r="A301" s="4" t="s">
        <v>751</v>
      </c>
      <c r="B301" s="3" t="s">
        <v>515</v>
      </c>
      <c r="C301" s="3" t="s">
        <v>53</v>
      </c>
      <c r="D301" s="8">
        <v>53.313943999999999</v>
      </c>
      <c r="E301" s="5">
        <v>-4.620444</v>
      </c>
      <c r="F301" s="3">
        <v>1938</v>
      </c>
      <c r="G301" s="3">
        <v>2018</v>
      </c>
      <c r="H301" s="5">
        <f t="shared" si="2"/>
        <v>81</v>
      </c>
      <c r="I301" s="12" t="s">
        <v>16</v>
      </c>
      <c r="J301" s="15">
        <v>0</v>
      </c>
      <c r="K301" s="12" t="s">
        <v>261</v>
      </c>
      <c r="L301" s="3" t="s">
        <v>10</v>
      </c>
      <c r="M301" s="3" t="s">
        <v>279</v>
      </c>
      <c r="N301" s="6" t="s">
        <v>491</v>
      </c>
    </row>
    <row r="302" spans="1:14" x14ac:dyDescent="0.35">
      <c r="A302" s="4" t="s">
        <v>751</v>
      </c>
      <c r="B302" s="3" t="s">
        <v>516</v>
      </c>
      <c r="C302" s="3" t="s">
        <v>21</v>
      </c>
      <c r="D302" s="8">
        <v>53.35</v>
      </c>
      <c r="E302" s="5">
        <v>-6.2166670000000002</v>
      </c>
      <c r="F302" s="3">
        <v>1938</v>
      </c>
      <c r="G302" s="3">
        <v>2009</v>
      </c>
      <c r="H302" s="5">
        <f t="shared" si="2"/>
        <v>72</v>
      </c>
      <c r="I302" s="12" t="s">
        <v>16</v>
      </c>
      <c r="J302" s="15">
        <v>0</v>
      </c>
      <c r="K302" s="12" t="s">
        <v>261</v>
      </c>
      <c r="L302" s="3" t="s">
        <v>10</v>
      </c>
      <c r="M302" s="3" t="s">
        <v>279</v>
      </c>
      <c r="N302" s="6" t="s">
        <v>491</v>
      </c>
    </row>
    <row r="303" spans="1:14" x14ac:dyDescent="0.35">
      <c r="A303" s="4" t="s">
        <v>751</v>
      </c>
      <c r="B303" s="3" t="s">
        <v>517</v>
      </c>
      <c r="C303" s="3" t="s">
        <v>53</v>
      </c>
      <c r="D303" s="8">
        <v>53.4</v>
      </c>
      <c r="E303" s="5">
        <v>-3</v>
      </c>
      <c r="F303" s="3">
        <v>1858</v>
      </c>
      <c r="G303" s="3">
        <v>1983</v>
      </c>
      <c r="H303" s="5">
        <f t="shared" si="2"/>
        <v>126</v>
      </c>
      <c r="I303" s="12" t="s">
        <v>16</v>
      </c>
      <c r="J303" s="15">
        <v>0</v>
      </c>
      <c r="K303" s="12" t="s">
        <v>261</v>
      </c>
      <c r="L303" s="3" t="s">
        <v>10</v>
      </c>
      <c r="M303" s="3" t="s">
        <v>279</v>
      </c>
      <c r="N303" s="6" t="s">
        <v>491</v>
      </c>
    </row>
    <row r="304" spans="1:14" x14ac:dyDescent="0.35">
      <c r="A304" s="4" t="s">
        <v>751</v>
      </c>
      <c r="B304" s="3" t="s">
        <v>518</v>
      </c>
      <c r="C304" s="3" t="s">
        <v>53</v>
      </c>
      <c r="D304" s="8">
        <v>54.031832999999999</v>
      </c>
      <c r="E304" s="5">
        <v>-2.9202499999999998</v>
      </c>
      <c r="F304" s="3">
        <v>1960</v>
      </c>
      <c r="G304" s="3">
        <v>2018</v>
      </c>
      <c r="H304" s="5">
        <f t="shared" si="2"/>
        <v>59</v>
      </c>
      <c r="I304" s="12" t="s">
        <v>16</v>
      </c>
      <c r="J304" s="15">
        <v>0</v>
      </c>
      <c r="K304" s="12" t="s">
        <v>261</v>
      </c>
      <c r="L304" s="3" t="s">
        <v>10</v>
      </c>
      <c r="M304" s="3" t="s">
        <v>279</v>
      </c>
      <c r="N304" s="6" t="s">
        <v>491</v>
      </c>
    </row>
    <row r="305" spans="1:14" x14ac:dyDescent="0.35">
      <c r="A305" s="4" t="s">
        <v>751</v>
      </c>
      <c r="B305" s="3" t="s">
        <v>519</v>
      </c>
      <c r="C305" s="3" t="s">
        <v>53</v>
      </c>
      <c r="D305" s="8">
        <v>54.15</v>
      </c>
      <c r="E305" s="5">
        <v>-4.4666670000000002</v>
      </c>
      <c r="F305" s="3">
        <v>1938</v>
      </c>
      <c r="G305" s="3">
        <v>1977</v>
      </c>
      <c r="H305" s="5">
        <f t="shared" si="2"/>
        <v>40</v>
      </c>
      <c r="I305" s="12" t="s">
        <v>16</v>
      </c>
      <c r="J305" s="15">
        <v>0</v>
      </c>
      <c r="K305" s="12" t="s">
        <v>261</v>
      </c>
      <c r="L305" s="3" t="s">
        <v>10</v>
      </c>
      <c r="M305" s="3" t="s">
        <v>279</v>
      </c>
      <c r="N305" s="6" t="s">
        <v>491</v>
      </c>
    </row>
    <row r="306" spans="1:14" x14ac:dyDescent="0.35">
      <c r="A306" s="4" t="s">
        <v>751</v>
      </c>
      <c r="B306" s="3" t="s">
        <v>520</v>
      </c>
      <c r="C306" s="3" t="s">
        <v>53</v>
      </c>
      <c r="D306" s="8">
        <v>54.842556000000002</v>
      </c>
      <c r="E306" s="8">
        <v>-5.1200279999999996</v>
      </c>
      <c r="F306" s="3">
        <v>1968</v>
      </c>
      <c r="G306" s="3">
        <v>2018</v>
      </c>
      <c r="H306" s="5">
        <f t="shared" si="2"/>
        <v>51</v>
      </c>
      <c r="I306" s="12" t="s">
        <v>16</v>
      </c>
      <c r="J306" s="15">
        <v>0</v>
      </c>
      <c r="K306" s="12" t="s">
        <v>261</v>
      </c>
      <c r="L306" s="3" t="s">
        <v>10</v>
      </c>
      <c r="M306" s="3" t="s">
        <v>279</v>
      </c>
      <c r="N306" s="6" t="s">
        <v>491</v>
      </c>
    </row>
    <row r="307" spans="1:14" x14ac:dyDescent="0.35">
      <c r="A307" s="4" t="s">
        <v>751</v>
      </c>
      <c r="B307" s="3" t="s">
        <v>521</v>
      </c>
      <c r="C307" s="3" t="s">
        <v>53</v>
      </c>
      <c r="D307" s="8">
        <v>54.6</v>
      </c>
      <c r="E307" s="5">
        <v>-5.9166670000000003</v>
      </c>
      <c r="F307" s="3">
        <v>1957</v>
      </c>
      <c r="G307" s="3">
        <v>1979</v>
      </c>
      <c r="H307" s="5">
        <f t="shared" si="2"/>
        <v>23</v>
      </c>
      <c r="I307" s="12" t="s">
        <v>16</v>
      </c>
      <c r="J307" s="15">
        <v>0</v>
      </c>
      <c r="K307" s="12" t="s">
        <v>261</v>
      </c>
      <c r="L307" s="3" t="s">
        <v>10</v>
      </c>
      <c r="M307" s="3" t="s">
        <v>279</v>
      </c>
      <c r="N307" s="6" t="s">
        <v>491</v>
      </c>
    </row>
    <row r="308" spans="1:14" x14ac:dyDescent="0.35">
      <c r="A308" s="4" t="s">
        <v>751</v>
      </c>
      <c r="B308" s="3" t="s">
        <v>522</v>
      </c>
      <c r="C308" s="3" t="s">
        <v>53</v>
      </c>
      <c r="D308" s="8">
        <v>55.749806</v>
      </c>
      <c r="E308" s="5">
        <v>-4.9063330000000001</v>
      </c>
      <c r="F308" s="3">
        <v>1968</v>
      </c>
      <c r="G308" s="3">
        <v>2018</v>
      </c>
      <c r="H308" s="5">
        <f t="shared" si="2"/>
        <v>51</v>
      </c>
      <c r="I308" s="12" t="s">
        <v>16</v>
      </c>
      <c r="J308" s="15">
        <v>0</v>
      </c>
      <c r="K308" s="12" t="s">
        <v>261</v>
      </c>
      <c r="L308" s="3" t="s">
        <v>10</v>
      </c>
      <c r="M308" s="3" t="s">
        <v>279</v>
      </c>
      <c r="N308" s="6" t="s">
        <v>491</v>
      </c>
    </row>
    <row r="309" spans="1:14" x14ac:dyDescent="0.35">
      <c r="A309" s="4" t="s">
        <v>751</v>
      </c>
      <c r="B309" s="3" t="s">
        <v>523</v>
      </c>
      <c r="C309" s="3" t="s">
        <v>53</v>
      </c>
      <c r="D309" s="8">
        <v>55.366667</v>
      </c>
      <c r="E309" s="5">
        <v>-7.3333329999999997</v>
      </c>
      <c r="F309" s="3">
        <v>1958</v>
      </c>
      <c r="G309" s="3">
        <v>2002</v>
      </c>
      <c r="H309" s="5">
        <f t="shared" si="2"/>
        <v>45</v>
      </c>
      <c r="I309" s="12" t="s">
        <v>16</v>
      </c>
      <c r="J309" s="15">
        <v>0</v>
      </c>
      <c r="K309" s="12" t="s">
        <v>261</v>
      </c>
      <c r="L309" s="3" t="s">
        <v>10</v>
      </c>
      <c r="M309" s="3" t="s">
        <v>279</v>
      </c>
      <c r="N309" s="6" t="s">
        <v>491</v>
      </c>
    </row>
    <row r="310" spans="1:14" x14ac:dyDescent="0.35">
      <c r="A310" s="4" t="s">
        <v>751</v>
      </c>
      <c r="B310" s="3" t="s">
        <v>524</v>
      </c>
      <c r="C310" s="3" t="s">
        <v>53</v>
      </c>
      <c r="D310" s="8">
        <v>56.623111000000002</v>
      </c>
      <c r="E310" s="5">
        <v>-6.064222</v>
      </c>
      <c r="F310" s="3">
        <v>1989</v>
      </c>
      <c r="G310" s="3">
        <v>2023</v>
      </c>
      <c r="H310" s="5">
        <f t="shared" si="2"/>
        <v>35</v>
      </c>
      <c r="I310" s="12" t="s">
        <v>16</v>
      </c>
      <c r="J310" s="15">
        <v>0</v>
      </c>
      <c r="K310" s="12" t="s">
        <v>261</v>
      </c>
      <c r="L310" s="3" t="s">
        <v>10</v>
      </c>
      <c r="M310" s="3" t="s">
        <v>279</v>
      </c>
      <c r="N310" s="6" t="s">
        <v>491</v>
      </c>
    </row>
    <row r="311" spans="1:14" x14ac:dyDescent="0.35">
      <c r="A311" s="4" t="s">
        <v>751</v>
      </c>
      <c r="B311" s="3" t="s">
        <v>525</v>
      </c>
      <c r="C311" s="3" t="s">
        <v>53</v>
      </c>
      <c r="D311" s="8">
        <v>57.895249999999997</v>
      </c>
      <c r="E311" s="5">
        <v>-5.1578889999999999</v>
      </c>
      <c r="F311" s="3">
        <v>1981</v>
      </c>
      <c r="G311" s="3">
        <v>2018</v>
      </c>
      <c r="H311" s="5">
        <f t="shared" si="2"/>
        <v>38</v>
      </c>
      <c r="I311" s="12" t="s">
        <v>16</v>
      </c>
      <c r="J311" s="15">
        <v>0</v>
      </c>
      <c r="K311" s="12" t="s">
        <v>261</v>
      </c>
      <c r="L311" s="3" t="s">
        <v>10</v>
      </c>
      <c r="M311" s="3" t="s">
        <v>279</v>
      </c>
      <c r="N311" s="6" t="s">
        <v>491</v>
      </c>
    </row>
    <row r="312" spans="1:14" x14ac:dyDescent="0.35">
      <c r="A312" s="4" t="s">
        <v>751</v>
      </c>
      <c r="B312" s="3" t="s">
        <v>526</v>
      </c>
      <c r="C312" s="3" t="s">
        <v>53</v>
      </c>
      <c r="D312" s="8">
        <v>58.207805999999998</v>
      </c>
      <c r="E312" s="5">
        <v>-6.3889719999999999</v>
      </c>
      <c r="F312" s="3">
        <v>1977</v>
      </c>
      <c r="G312" s="3">
        <v>2018</v>
      </c>
      <c r="H312" s="5">
        <f t="shared" si="2"/>
        <v>42</v>
      </c>
      <c r="I312" s="12" t="s">
        <v>16</v>
      </c>
      <c r="J312" s="15">
        <v>0</v>
      </c>
      <c r="K312" s="12" t="s">
        <v>261</v>
      </c>
      <c r="L312" s="3" t="s">
        <v>10</v>
      </c>
      <c r="M312" s="3" t="s">
        <v>279</v>
      </c>
      <c r="N312" s="6" t="s">
        <v>491</v>
      </c>
    </row>
    <row r="313" spans="1:14" x14ac:dyDescent="0.35">
      <c r="A313" s="4" t="s">
        <v>527</v>
      </c>
      <c r="B313" s="3" t="s">
        <v>42</v>
      </c>
      <c r="C313" s="3" t="s">
        <v>31</v>
      </c>
      <c r="D313" s="5">
        <v>46.197349000000003</v>
      </c>
      <c r="E313" s="5">
        <v>-123.796133</v>
      </c>
      <c r="F313" s="3">
        <v>1853</v>
      </c>
      <c r="G313" s="3">
        <v>1876</v>
      </c>
      <c r="H313" s="5">
        <f t="shared" si="2"/>
        <v>24</v>
      </c>
      <c r="I313" s="11" t="s">
        <v>16</v>
      </c>
      <c r="J313" s="15">
        <v>0</v>
      </c>
      <c r="K313" s="3" t="s">
        <v>261</v>
      </c>
      <c r="L313" s="3" t="s">
        <v>225</v>
      </c>
      <c r="M313" s="3" t="s">
        <v>528</v>
      </c>
      <c r="N313" s="6" t="s">
        <v>529</v>
      </c>
    </row>
    <row r="314" spans="1:14" x14ac:dyDescent="0.35">
      <c r="A314" s="4" t="s">
        <v>527</v>
      </c>
      <c r="B314" s="3" t="s">
        <v>42</v>
      </c>
      <c r="C314" s="3" t="s">
        <v>31</v>
      </c>
      <c r="D314" s="5">
        <v>46.197349000000003</v>
      </c>
      <c r="E314" s="5">
        <v>-123.796133</v>
      </c>
      <c r="F314" s="3">
        <v>1854</v>
      </c>
      <c r="G314" s="3">
        <v>1876</v>
      </c>
      <c r="H314" s="5">
        <f t="shared" si="2"/>
        <v>20</v>
      </c>
      <c r="I314" s="11" t="s">
        <v>530</v>
      </c>
      <c r="J314" s="5">
        <v>3</v>
      </c>
      <c r="K314" s="3" t="s">
        <v>741</v>
      </c>
      <c r="L314" s="3" t="s">
        <v>10</v>
      </c>
      <c r="M314" s="3" t="s">
        <v>137</v>
      </c>
      <c r="N314" s="6" t="s">
        <v>529</v>
      </c>
    </row>
    <row r="315" spans="1:14" x14ac:dyDescent="0.35">
      <c r="A315" s="4" t="s">
        <v>527</v>
      </c>
      <c r="B315" s="3" t="s">
        <v>531</v>
      </c>
      <c r="C315" s="3" t="s">
        <v>31</v>
      </c>
      <c r="D315" s="5">
        <v>46.207951999999999</v>
      </c>
      <c r="E315" s="5">
        <v>-123.961354</v>
      </c>
      <c r="F315" s="3">
        <v>1925</v>
      </c>
      <c r="G315" s="3">
        <v>1957</v>
      </c>
      <c r="H315" s="5">
        <f t="shared" si="2"/>
        <v>33</v>
      </c>
      <c r="I315" s="3" t="s">
        <v>739</v>
      </c>
      <c r="J315" s="5">
        <v>0</v>
      </c>
      <c r="K315" s="3" t="s">
        <v>261</v>
      </c>
      <c r="L315" s="3" t="s">
        <v>532</v>
      </c>
      <c r="M315" s="3" t="s">
        <v>23</v>
      </c>
      <c r="N315" s="6" t="s">
        <v>529</v>
      </c>
    </row>
    <row r="316" spans="1:14" x14ac:dyDescent="0.35">
      <c r="A316" s="4" t="s">
        <v>527</v>
      </c>
      <c r="B316" s="3" t="s">
        <v>533</v>
      </c>
      <c r="C316" s="3" t="s">
        <v>31</v>
      </c>
      <c r="D316" s="5">
        <v>46.170723000000002</v>
      </c>
      <c r="E316" s="5">
        <v>-123.83677400000001</v>
      </c>
      <c r="F316" s="3">
        <v>1940</v>
      </c>
      <c r="G316" s="3">
        <v>1942</v>
      </c>
      <c r="H316" s="5">
        <f t="shared" si="2"/>
        <v>3</v>
      </c>
      <c r="I316" s="11" t="s">
        <v>16</v>
      </c>
      <c r="J316" s="5">
        <v>0</v>
      </c>
      <c r="K316" s="3" t="s">
        <v>741</v>
      </c>
      <c r="L316" s="3" t="s">
        <v>10</v>
      </c>
      <c r="M316" s="3" t="s">
        <v>23</v>
      </c>
      <c r="N316" s="6" t="s">
        <v>529</v>
      </c>
    </row>
    <row r="317" spans="1:14" x14ac:dyDescent="0.35">
      <c r="A317" s="4" t="s">
        <v>527</v>
      </c>
      <c r="B317" s="3" t="s">
        <v>533</v>
      </c>
      <c r="C317" s="3" t="s">
        <v>31</v>
      </c>
      <c r="D317" s="5">
        <v>46.170723000000002</v>
      </c>
      <c r="E317" s="5">
        <v>-123.83677400000001</v>
      </c>
      <c r="F317" s="3">
        <v>1905</v>
      </c>
      <c r="G317" s="3">
        <v>1981</v>
      </c>
      <c r="H317" s="5">
        <f>(1+(G317-F317))-J317</f>
        <v>7</v>
      </c>
      <c r="I317" s="11" t="s">
        <v>534</v>
      </c>
      <c r="J317" s="5">
        <v>70</v>
      </c>
      <c r="K317" s="3" t="s">
        <v>741</v>
      </c>
      <c r="L317" s="3" t="s">
        <v>10</v>
      </c>
      <c r="M317" s="3" t="s">
        <v>279</v>
      </c>
      <c r="N317" s="6" t="s">
        <v>529</v>
      </c>
    </row>
    <row r="318" spans="1:14" x14ac:dyDescent="0.35">
      <c r="A318" s="4" t="s">
        <v>527</v>
      </c>
      <c r="B318" s="3" t="s">
        <v>535</v>
      </c>
      <c r="C318" s="3" t="s">
        <v>31</v>
      </c>
      <c r="D318" s="5">
        <v>46.192236000000001</v>
      </c>
      <c r="E318" s="5">
        <v>-123.842358</v>
      </c>
      <c r="F318" s="3">
        <v>1931</v>
      </c>
      <c r="G318" s="3">
        <v>1943</v>
      </c>
      <c r="H318" s="5">
        <f t="shared" si="2"/>
        <v>13</v>
      </c>
      <c r="I318" s="3" t="s">
        <v>16</v>
      </c>
      <c r="J318" s="5">
        <v>0</v>
      </c>
      <c r="K318" s="3" t="s">
        <v>742</v>
      </c>
      <c r="L318" s="3" t="s">
        <v>10</v>
      </c>
      <c r="M318" s="3" t="s">
        <v>23</v>
      </c>
      <c r="N318" s="6" t="s">
        <v>529</v>
      </c>
    </row>
    <row r="319" spans="1:14" x14ac:dyDescent="0.35">
      <c r="A319" s="4" t="s">
        <v>752</v>
      </c>
      <c r="B319" s="3" t="s">
        <v>536</v>
      </c>
      <c r="C319" s="3" t="s">
        <v>94</v>
      </c>
      <c r="D319" s="5">
        <v>51.047192000000003</v>
      </c>
      <c r="E319" s="5">
        <v>2.3705720000000001</v>
      </c>
      <c r="F319" s="3">
        <v>1701</v>
      </c>
      <c r="G319" s="3">
        <v>1836</v>
      </c>
      <c r="H319" s="5">
        <f t="shared" si="2"/>
        <v>5</v>
      </c>
      <c r="I319" s="11" t="s">
        <v>537</v>
      </c>
      <c r="J319" s="5">
        <f>98+33</f>
        <v>131</v>
      </c>
      <c r="K319" s="3" t="s">
        <v>741</v>
      </c>
      <c r="L319" s="3" t="s">
        <v>10</v>
      </c>
      <c r="M319" s="3" t="s">
        <v>32</v>
      </c>
      <c r="N319" s="6" t="s">
        <v>538</v>
      </c>
    </row>
    <row r="320" spans="1:14" x14ac:dyDescent="0.35">
      <c r="A320" s="4" t="s">
        <v>752</v>
      </c>
      <c r="B320" s="3" t="s">
        <v>536</v>
      </c>
      <c r="C320" s="3" t="s">
        <v>94</v>
      </c>
      <c r="D320" s="5">
        <v>51.047192000000003</v>
      </c>
      <c r="E320" s="5">
        <v>2.3705720000000001</v>
      </c>
      <c r="F320" s="3">
        <v>1865</v>
      </c>
      <c r="G320" s="3">
        <v>1944</v>
      </c>
      <c r="H320" s="5">
        <f t="shared" si="2"/>
        <v>24</v>
      </c>
      <c r="I320" s="11" t="s">
        <v>539</v>
      </c>
      <c r="J320" s="5">
        <v>56</v>
      </c>
      <c r="K320" s="3" t="s">
        <v>261</v>
      </c>
      <c r="L320" s="3" t="s">
        <v>174</v>
      </c>
      <c r="M320" s="3" t="s">
        <v>379</v>
      </c>
      <c r="N320" s="6" t="s">
        <v>538</v>
      </c>
    </row>
    <row r="321" spans="1:22" x14ac:dyDescent="0.35">
      <c r="A321" s="4" t="s">
        <v>752</v>
      </c>
      <c r="B321" s="3" t="s">
        <v>540</v>
      </c>
      <c r="C321" s="3" t="s">
        <v>94</v>
      </c>
      <c r="D321" s="5">
        <v>50.961742999999998</v>
      </c>
      <c r="E321" s="5">
        <v>1.8494870000000001</v>
      </c>
      <c r="F321" s="3">
        <v>1836</v>
      </c>
      <c r="G321" s="3">
        <v>1836</v>
      </c>
      <c r="H321" s="5">
        <f t="shared" si="2"/>
        <v>1</v>
      </c>
      <c r="I321" s="11" t="s">
        <v>16</v>
      </c>
      <c r="J321" s="5">
        <v>0</v>
      </c>
      <c r="K321" s="3" t="s">
        <v>741</v>
      </c>
      <c r="L321" s="3" t="s">
        <v>10</v>
      </c>
      <c r="M321" s="3" t="s">
        <v>32</v>
      </c>
      <c r="N321" s="6" t="s">
        <v>538</v>
      </c>
    </row>
    <row r="322" spans="1:22" x14ac:dyDescent="0.35">
      <c r="A322" s="4" t="s">
        <v>752</v>
      </c>
      <c r="B322" s="3" t="s">
        <v>540</v>
      </c>
      <c r="C322" s="3" t="s">
        <v>94</v>
      </c>
      <c r="D322" s="5">
        <v>50.961742999999998</v>
      </c>
      <c r="E322" s="5">
        <v>1.8494870000000001</v>
      </c>
      <c r="F322" s="3">
        <v>1879</v>
      </c>
      <c r="G322" s="3">
        <v>1943</v>
      </c>
      <c r="H322" s="5">
        <f t="shared" si="2"/>
        <v>8</v>
      </c>
      <c r="I322" s="11" t="s">
        <v>541</v>
      </c>
      <c r="J322" s="5">
        <f>31+20+6</f>
        <v>57</v>
      </c>
      <c r="K322" s="3" t="s">
        <v>261</v>
      </c>
      <c r="L322" s="3" t="s">
        <v>174</v>
      </c>
      <c r="M322" s="3" t="s">
        <v>379</v>
      </c>
      <c r="N322" s="6" t="s">
        <v>538</v>
      </c>
    </row>
    <row r="323" spans="1:22" x14ac:dyDescent="0.35">
      <c r="A323" s="4" t="s">
        <v>752</v>
      </c>
      <c r="B323" s="3" t="s">
        <v>542</v>
      </c>
      <c r="C323" s="3" t="s">
        <v>94</v>
      </c>
      <c r="D323" s="5">
        <v>50.728225000000002</v>
      </c>
      <c r="E323" s="5">
        <v>1.5948340000000001</v>
      </c>
      <c r="F323" s="3">
        <v>1835</v>
      </c>
      <c r="G323" s="3">
        <v>1855</v>
      </c>
      <c r="H323" s="5">
        <f t="shared" si="2"/>
        <v>2</v>
      </c>
      <c r="I323" s="11" t="s">
        <v>543</v>
      </c>
      <c r="J323" s="5">
        <v>19</v>
      </c>
      <c r="K323" s="3" t="s">
        <v>741</v>
      </c>
      <c r="L323" s="3" t="s">
        <v>10</v>
      </c>
      <c r="M323" s="3" t="s">
        <v>32</v>
      </c>
      <c r="N323" s="6" t="s">
        <v>538</v>
      </c>
    </row>
    <row r="324" spans="1:22" x14ac:dyDescent="0.35">
      <c r="A324" s="4" t="s">
        <v>752</v>
      </c>
      <c r="B324" s="3" t="s">
        <v>542</v>
      </c>
      <c r="C324" s="3" t="s">
        <v>94</v>
      </c>
      <c r="D324" s="5">
        <v>50.728225000000002</v>
      </c>
      <c r="E324" s="5">
        <v>1.5948340000000001</v>
      </c>
      <c r="F324" s="3">
        <v>1876</v>
      </c>
      <c r="G324" s="3">
        <v>1944</v>
      </c>
      <c r="H324" s="5">
        <f t="shared" si="2"/>
        <v>11</v>
      </c>
      <c r="I324" s="11" t="s">
        <v>544</v>
      </c>
      <c r="J324" s="5">
        <f>1+30+1+18+4+4</f>
        <v>58</v>
      </c>
      <c r="K324" s="3" t="s">
        <v>261</v>
      </c>
      <c r="L324" s="3" t="s">
        <v>174</v>
      </c>
      <c r="M324" s="3" t="s">
        <v>379</v>
      </c>
      <c r="N324" s="6" t="s">
        <v>538</v>
      </c>
    </row>
    <row r="325" spans="1:22" x14ac:dyDescent="0.35">
      <c r="A325" s="4" t="s">
        <v>545</v>
      </c>
      <c r="B325" s="3" t="s">
        <v>546</v>
      </c>
      <c r="C325" s="3" t="s">
        <v>203</v>
      </c>
      <c r="D325" s="5">
        <v>38.342443000000003</v>
      </c>
      <c r="E325" s="5">
        <v>-0.479105</v>
      </c>
      <c r="F325" s="3">
        <v>1870</v>
      </c>
      <c r="G325" s="3">
        <v>1874</v>
      </c>
      <c r="H325" s="5">
        <f t="shared" si="2"/>
        <v>5</v>
      </c>
      <c r="I325" s="11" t="s">
        <v>16</v>
      </c>
      <c r="J325" s="5">
        <v>0</v>
      </c>
      <c r="K325" s="3" t="s">
        <v>741</v>
      </c>
      <c r="L325" s="3" t="s">
        <v>10</v>
      </c>
      <c r="M325" s="3" t="s">
        <v>547</v>
      </c>
      <c r="N325" s="6" t="s">
        <v>548</v>
      </c>
    </row>
    <row r="326" spans="1:22" x14ac:dyDescent="0.35">
      <c r="A326" s="4" t="s">
        <v>545</v>
      </c>
      <c r="B326" s="3" t="s">
        <v>549</v>
      </c>
      <c r="C326" s="3" t="s">
        <v>203</v>
      </c>
      <c r="D326" s="5">
        <v>38.337060000000001</v>
      </c>
      <c r="E326" s="5">
        <v>-0.477989</v>
      </c>
      <c r="F326" s="3">
        <v>1874</v>
      </c>
      <c r="G326" s="3">
        <v>1924</v>
      </c>
      <c r="H326" s="5">
        <f t="shared" si="2"/>
        <v>47.917864476386036</v>
      </c>
      <c r="I326" s="11" t="s">
        <v>550</v>
      </c>
      <c r="J326" s="5">
        <f>3+(30/365.25)</f>
        <v>3.0821355236139629</v>
      </c>
      <c r="K326" s="3" t="s">
        <v>741</v>
      </c>
      <c r="L326" s="3" t="s">
        <v>10</v>
      </c>
      <c r="M326" s="3" t="s">
        <v>551</v>
      </c>
      <c r="N326" s="6" t="s">
        <v>548</v>
      </c>
    </row>
    <row r="327" spans="1:22" x14ac:dyDescent="0.35">
      <c r="A327" s="4" t="s">
        <v>545</v>
      </c>
      <c r="B327" s="3" t="s">
        <v>552</v>
      </c>
      <c r="C327" s="3" t="s">
        <v>203</v>
      </c>
      <c r="D327" s="5">
        <v>38.338338999999998</v>
      </c>
      <c r="E327" s="5">
        <v>-0.47790300000000002</v>
      </c>
      <c r="F327" s="3">
        <v>1927</v>
      </c>
      <c r="G327" s="3">
        <v>1989</v>
      </c>
      <c r="H327" s="5">
        <f t="shared" si="2"/>
        <v>51.915126625598901</v>
      </c>
      <c r="I327" s="3" t="s">
        <v>553</v>
      </c>
      <c r="J327" s="5">
        <f>3+((31+30+31+30)/365.25)+4-((30+31+30)/365.25)+4</f>
        <v>11.084873374401095</v>
      </c>
      <c r="K327" s="3" t="s">
        <v>261</v>
      </c>
      <c r="L327" s="3" t="s">
        <v>10</v>
      </c>
      <c r="M327" s="3" t="s">
        <v>23</v>
      </c>
      <c r="N327" s="6" t="s">
        <v>548</v>
      </c>
    </row>
    <row r="328" spans="1:22" x14ac:dyDescent="0.35">
      <c r="A328" s="4" t="s">
        <v>545</v>
      </c>
      <c r="B328" s="24" t="s">
        <v>554</v>
      </c>
      <c r="C328" s="3" t="s">
        <v>203</v>
      </c>
      <c r="D328" s="5">
        <v>38.338338999999998</v>
      </c>
      <c r="E328" s="5">
        <v>-0.47790300000000002</v>
      </c>
      <c r="F328" s="3">
        <v>1969</v>
      </c>
      <c r="G328" s="3">
        <v>1971</v>
      </c>
      <c r="H328" s="5">
        <f t="shared" si="2"/>
        <v>3</v>
      </c>
      <c r="I328" s="3" t="s">
        <v>16</v>
      </c>
      <c r="J328" s="5">
        <v>0</v>
      </c>
      <c r="K328" s="3" t="s">
        <v>261</v>
      </c>
      <c r="L328" s="3" t="s">
        <v>10</v>
      </c>
      <c r="M328" s="3" t="s">
        <v>555</v>
      </c>
      <c r="N328" s="6" t="s">
        <v>548</v>
      </c>
    </row>
    <row r="329" spans="1:22" x14ac:dyDescent="0.35">
      <c r="A329" s="4" t="s">
        <v>545</v>
      </c>
      <c r="B329" s="3" t="s">
        <v>556</v>
      </c>
      <c r="C329" s="3" t="s">
        <v>203</v>
      </c>
      <c r="D329" s="5">
        <v>38.339146</v>
      </c>
      <c r="E329" s="5">
        <v>-0.48150799999999999</v>
      </c>
      <c r="F329" s="3">
        <v>1957</v>
      </c>
      <c r="G329" s="3">
        <v>1996</v>
      </c>
      <c r="H329" s="5">
        <f t="shared" si="2"/>
        <v>40</v>
      </c>
      <c r="I329" s="3" t="s">
        <v>16</v>
      </c>
      <c r="J329" s="5">
        <v>0</v>
      </c>
      <c r="K329" s="3" t="s">
        <v>261</v>
      </c>
      <c r="L329" s="3" t="s">
        <v>10</v>
      </c>
      <c r="M329" s="3" t="s">
        <v>23</v>
      </c>
      <c r="N329" s="6" t="s">
        <v>548</v>
      </c>
    </row>
    <row r="330" spans="1:22" x14ac:dyDescent="0.35">
      <c r="A330" s="4" t="s">
        <v>545</v>
      </c>
      <c r="B330" s="3" t="s">
        <v>557</v>
      </c>
      <c r="C330" s="3" t="s">
        <v>203</v>
      </c>
      <c r="D330" s="5">
        <v>43.466155000000001</v>
      </c>
      <c r="E330" s="5">
        <v>-3.7663570000000002</v>
      </c>
      <c r="F330" s="3">
        <v>1876</v>
      </c>
      <c r="G330" s="3">
        <v>1924</v>
      </c>
      <c r="H330" s="5">
        <f t="shared" si="2"/>
        <v>44</v>
      </c>
      <c r="I330" s="11" t="s">
        <v>558</v>
      </c>
      <c r="J330" s="5">
        <v>5</v>
      </c>
      <c r="K330" s="3" t="s">
        <v>741</v>
      </c>
      <c r="L330" s="3" t="s">
        <v>10</v>
      </c>
      <c r="M330" s="3" t="s">
        <v>551</v>
      </c>
      <c r="N330" s="6" t="s">
        <v>548</v>
      </c>
    </row>
    <row r="331" spans="1:22" x14ac:dyDescent="0.35">
      <c r="A331" s="4" t="s">
        <v>545</v>
      </c>
      <c r="B331" s="3" t="s">
        <v>559</v>
      </c>
      <c r="C331" s="3" t="s">
        <v>203</v>
      </c>
      <c r="D331" s="5">
        <v>43.461438000000001</v>
      </c>
      <c r="E331" s="5">
        <v>-3.7913060000000001</v>
      </c>
      <c r="F331" s="3">
        <v>1920</v>
      </c>
      <c r="G331" s="3">
        <v>1925</v>
      </c>
      <c r="H331" s="5">
        <f t="shared" si="2"/>
        <v>6</v>
      </c>
      <c r="I331" s="3" t="s">
        <v>16</v>
      </c>
      <c r="J331" s="5">
        <v>0</v>
      </c>
      <c r="K331" s="3" t="s">
        <v>741</v>
      </c>
      <c r="L331" s="3" t="s">
        <v>10</v>
      </c>
      <c r="M331" s="3" t="s">
        <v>551</v>
      </c>
      <c r="N331" s="6" t="s">
        <v>548</v>
      </c>
    </row>
    <row r="332" spans="1:22" x14ac:dyDescent="0.35">
      <c r="A332" s="4" t="s">
        <v>545</v>
      </c>
      <c r="B332" s="3" t="s">
        <v>560</v>
      </c>
      <c r="C332" s="3" t="s">
        <v>203</v>
      </c>
      <c r="D332" s="5">
        <v>43.461438000000001</v>
      </c>
      <c r="E332" s="5">
        <v>-3.7913060000000001</v>
      </c>
      <c r="F332" s="3">
        <v>1925</v>
      </c>
      <c r="G332" s="3">
        <v>1928</v>
      </c>
      <c r="H332" s="5">
        <f t="shared" si="2"/>
        <v>4</v>
      </c>
      <c r="I332" s="3" t="s">
        <v>16</v>
      </c>
      <c r="J332" s="5">
        <v>0</v>
      </c>
      <c r="K332" s="3" t="s">
        <v>741</v>
      </c>
      <c r="L332" s="3" t="s">
        <v>10</v>
      </c>
      <c r="M332" s="3" t="s">
        <v>551</v>
      </c>
      <c r="N332" s="6" t="s">
        <v>548</v>
      </c>
    </row>
    <row r="333" spans="1:22" x14ac:dyDescent="0.35">
      <c r="A333" s="4" t="s">
        <v>561</v>
      </c>
      <c r="B333" s="3" t="s">
        <v>562</v>
      </c>
      <c r="C333" s="3" t="s">
        <v>53</v>
      </c>
      <c r="D333" s="5">
        <v>50.712321000000003</v>
      </c>
      <c r="E333" s="5">
        <v>-1.993298</v>
      </c>
      <c r="F333" s="3">
        <v>1927</v>
      </c>
      <c r="G333" s="3">
        <v>1979</v>
      </c>
      <c r="H333" s="5">
        <f t="shared" si="2"/>
        <v>4</v>
      </c>
      <c r="I333" s="11" t="s">
        <v>563</v>
      </c>
      <c r="J333" s="5">
        <v>49</v>
      </c>
      <c r="K333" s="3" t="s">
        <v>261</v>
      </c>
      <c r="L333" s="3" t="s">
        <v>564</v>
      </c>
      <c r="M333" s="3" t="s">
        <v>565</v>
      </c>
      <c r="N333" s="6" t="s">
        <v>566</v>
      </c>
    </row>
    <row r="334" spans="1:22" x14ac:dyDescent="0.35">
      <c r="A334" s="4" t="s">
        <v>561</v>
      </c>
      <c r="B334" s="3" t="s">
        <v>567</v>
      </c>
      <c r="C334" s="3" t="s">
        <v>53</v>
      </c>
      <c r="D334" s="5">
        <v>50.712133999999999</v>
      </c>
      <c r="E334" s="5">
        <v>-1.9893369999999999</v>
      </c>
      <c r="F334" s="3">
        <v>1954</v>
      </c>
      <c r="G334" s="3">
        <v>1992</v>
      </c>
      <c r="H334" s="5">
        <f t="shared" si="2"/>
        <v>36</v>
      </c>
      <c r="I334" s="11" t="s">
        <v>568</v>
      </c>
      <c r="J334" s="5">
        <v>3</v>
      </c>
      <c r="K334" s="3" t="s">
        <v>261</v>
      </c>
      <c r="L334" s="3" t="s">
        <v>564</v>
      </c>
      <c r="M334" s="3" t="s">
        <v>569</v>
      </c>
      <c r="N334" s="6" t="s">
        <v>566</v>
      </c>
    </row>
    <row r="335" spans="1:22" x14ac:dyDescent="0.35">
      <c r="A335" s="4" t="s">
        <v>561</v>
      </c>
      <c r="B335" s="3" t="s">
        <v>740</v>
      </c>
      <c r="C335" s="3" t="s">
        <v>53</v>
      </c>
      <c r="D335" s="5" t="s">
        <v>16</v>
      </c>
      <c r="E335" s="5" t="s">
        <v>16</v>
      </c>
      <c r="F335" s="3">
        <v>1947</v>
      </c>
      <c r="G335" s="3">
        <v>1956</v>
      </c>
      <c r="H335" s="5">
        <f t="shared" si="2"/>
        <v>9</v>
      </c>
      <c r="I335" s="11">
        <v>1955</v>
      </c>
      <c r="J335" s="5">
        <v>1</v>
      </c>
      <c r="K335" s="3" t="s">
        <v>261</v>
      </c>
      <c r="L335" s="3" t="s">
        <v>564</v>
      </c>
      <c r="M335" s="3" t="s">
        <v>569</v>
      </c>
      <c r="N335" s="6" t="s">
        <v>566</v>
      </c>
    </row>
    <row r="336" spans="1:22" s="12" customFormat="1" x14ac:dyDescent="0.35">
      <c r="A336" s="4" t="s">
        <v>570</v>
      </c>
      <c r="B336" s="3" t="s">
        <v>571</v>
      </c>
      <c r="C336" s="3" t="s">
        <v>31</v>
      </c>
      <c r="D336" s="5">
        <v>30.398299999999999</v>
      </c>
      <c r="E336" s="5">
        <v>-81.428299999999993</v>
      </c>
      <c r="F336" s="3">
        <v>1895</v>
      </c>
      <c r="G336" s="3">
        <v>1897</v>
      </c>
      <c r="H336" s="5">
        <f t="shared" si="2"/>
        <v>3</v>
      </c>
      <c r="I336" s="11" t="s">
        <v>16</v>
      </c>
      <c r="J336" s="5">
        <v>0</v>
      </c>
      <c r="K336" s="3" t="s">
        <v>261</v>
      </c>
      <c r="L336" s="3" t="s">
        <v>10</v>
      </c>
      <c r="M336" s="3" t="s">
        <v>23</v>
      </c>
      <c r="N336" s="7" t="s">
        <v>572</v>
      </c>
      <c r="O336" s="17"/>
      <c r="P336" s="17"/>
      <c r="Q336" s="17"/>
      <c r="R336" s="17"/>
      <c r="S336" s="17"/>
      <c r="T336" s="17"/>
      <c r="U336" s="17"/>
      <c r="V336" s="17"/>
    </row>
    <row r="337" spans="1:22" s="12" customFormat="1" x14ac:dyDescent="0.35">
      <c r="A337" s="4" t="s">
        <v>570</v>
      </c>
      <c r="B337" s="3" t="s">
        <v>573</v>
      </c>
      <c r="C337" s="3" t="s">
        <v>31</v>
      </c>
      <c r="D337" s="5">
        <v>30.322700000000001</v>
      </c>
      <c r="E337" s="5">
        <v>-81.664599999999993</v>
      </c>
      <c r="F337" s="3">
        <v>1959</v>
      </c>
      <c r="G337" s="3">
        <v>1959</v>
      </c>
      <c r="H337" s="5">
        <f t="shared" si="2"/>
        <v>1</v>
      </c>
      <c r="I337" s="11" t="s">
        <v>16</v>
      </c>
      <c r="J337" s="5">
        <v>0</v>
      </c>
      <c r="K337" s="3" t="s">
        <v>261</v>
      </c>
      <c r="L337" s="3" t="s">
        <v>10</v>
      </c>
      <c r="M337" s="3" t="s">
        <v>137</v>
      </c>
      <c r="N337" s="7" t="s">
        <v>572</v>
      </c>
      <c r="O337" s="17"/>
      <c r="P337" s="17"/>
      <c r="Q337" s="17"/>
      <c r="R337" s="17"/>
      <c r="S337" s="17"/>
      <c r="T337" s="17"/>
      <c r="U337" s="17"/>
      <c r="V337" s="17"/>
    </row>
    <row r="338" spans="1:22" s="12" customFormat="1" x14ac:dyDescent="0.35">
      <c r="A338" s="4" t="s">
        <v>570</v>
      </c>
      <c r="B338" s="3" t="s">
        <v>574</v>
      </c>
      <c r="C338" s="3" t="s">
        <v>31</v>
      </c>
      <c r="D338" s="5">
        <v>30.370425000000001</v>
      </c>
      <c r="E338" s="5">
        <v>-81.633330000000001</v>
      </c>
      <c r="F338" s="3">
        <v>1928</v>
      </c>
      <c r="G338" s="3">
        <v>1968</v>
      </c>
      <c r="H338" s="5">
        <f t="shared" si="2"/>
        <v>24</v>
      </c>
      <c r="I338" s="11" t="s">
        <v>575</v>
      </c>
      <c r="J338" s="5">
        <v>17</v>
      </c>
      <c r="K338" s="3" t="s">
        <v>261</v>
      </c>
      <c r="L338" s="3" t="s">
        <v>10</v>
      </c>
      <c r="M338" s="3" t="s">
        <v>137</v>
      </c>
      <c r="N338" s="7" t="s">
        <v>572</v>
      </c>
      <c r="O338" s="17"/>
      <c r="P338" s="17"/>
      <c r="Q338" s="17"/>
      <c r="R338" s="17"/>
      <c r="S338" s="17"/>
      <c r="T338" s="17"/>
      <c r="U338" s="17"/>
      <c r="V338" s="17"/>
    </row>
    <row r="339" spans="1:22" s="12" customFormat="1" x14ac:dyDescent="0.35">
      <c r="A339" s="4" t="s">
        <v>570</v>
      </c>
      <c r="B339" s="3" t="s">
        <v>576</v>
      </c>
      <c r="C339" s="3" t="s">
        <v>31</v>
      </c>
      <c r="D339" s="5" t="s">
        <v>16</v>
      </c>
      <c r="E339" s="5" t="s">
        <v>16</v>
      </c>
      <c r="F339" s="3">
        <v>1879</v>
      </c>
      <c r="G339" s="3">
        <v>1892</v>
      </c>
      <c r="H339" s="5">
        <f t="shared" si="2"/>
        <v>2</v>
      </c>
      <c r="I339" s="11" t="s">
        <v>577</v>
      </c>
      <c r="J339" s="5">
        <v>12</v>
      </c>
      <c r="K339" s="3" t="s">
        <v>741</v>
      </c>
      <c r="L339" s="3" t="s">
        <v>10</v>
      </c>
      <c r="M339" s="3" t="s">
        <v>32</v>
      </c>
      <c r="N339" s="7" t="s">
        <v>572</v>
      </c>
      <c r="O339" s="17"/>
      <c r="P339" s="17"/>
      <c r="Q339" s="17"/>
      <c r="R339" s="17"/>
      <c r="S339" s="17"/>
      <c r="T339" s="17"/>
      <c r="U339" s="17"/>
      <c r="V339" s="17"/>
    </row>
    <row r="340" spans="1:22" s="12" customFormat="1" x14ac:dyDescent="0.35">
      <c r="A340" s="4" t="s">
        <v>578</v>
      </c>
      <c r="B340" s="3" t="s">
        <v>579</v>
      </c>
      <c r="C340" s="3" t="s">
        <v>21</v>
      </c>
      <c r="D340" s="5">
        <v>51.871541000000001</v>
      </c>
      <c r="E340" s="5">
        <v>-8.3343489999999996</v>
      </c>
      <c r="F340" s="3">
        <v>1842</v>
      </c>
      <c r="G340" s="3">
        <v>1842</v>
      </c>
      <c r="H340" s="5">
        <f t="shared" ref="H340:H453" si="3">(1+(G340-F340))-J340</f>
        <v>0.25</v>
      </c>
      <c r="I340" s="3" t="s">
        <v>16</v>
      </c>
      <c r="J340" s="5">
        <v>0.75</v>
      </c>
      <c r="K340" s="3" t="s">
        <v>741</v>
      </c>
      <c r="L340" s="3" t="s">
        <v>10</v>
      </c>
      <c r="M340" s="3" t="s">
        <v>23</v>
      </c>
      <c r="N340" s="7" t="s">
        <v>580</v>
      </c>
      <c r="O340" s="17"/>
      <c r="P340" s="17"/>
      <c r="Q340" s="17"/>
      <c r="R340" s="17"/>
      <c r="S340" s="17"/>
      <c r="T340" s="17"/>
      <c r="U340" s="17"/>
      <c r="V340" s="17"/>
    </row>
    <row r="341" spans="1:22" s="12" customFormat="1" x14ac:dyDescent="0.35">
      <c r="A341" s="4" t="s">
        <v>578</v>
      </c>
      <c r="B341" s="3" t="s">
        <v>581</v>
      </c>
      <c r="C341" s="3" t="s">
        <v>21</v>
      </c>
      <c r="D341" s="5">
        <v>51.849760000000003</v>
      </c>
      <c r="E341" s="5">
        <v>-8.2939410000000002</v>
      </c>
      <c r="F341" s="3">
        <v>1906</v>
      </c>
      <c r="G341" s="3">
        <v>1906</v>
      </c>
      <c r="H341" s="5">
        <f t="shared" si="3"/>
        <v>1</v>
      </c>
      <c r="I341" s="3" t="s">
        <v>16</v>
      </c>
      <c r="J341" s="5">
        <v>0</v>
      </c>
      <c r="K341" s="3" t="s">
        <v>741</v>
      </c>
      <c r="L341" s="3" t="s">
        <v>10</v>
      </c>
      <c r="M341" s="3" t="s">
        <v>23</v>
      </c>
      <c r="N341" s="7" t="s">
        <v>580</v>
      </c>
      <c r="O341" s="17"/>
      <c r="P341" s="17"/>
      <c r="Q341" s="17"/>
      <c r="R341" s="17"/>
      <c r="S341" s="17"/>
      <c r="T341" s="17"/>
      <c r="U341" s="17"/>
      <c r="V341" s="17"/>
    </row>
    <row r="342" spans="1:22" s="12" customFormat="1" x14ac:dyDescent="0.35">
      <c r="A342" s="25" t="s">
        <v>582</v>
      </c>
      <c r="B342" s="26" t="s">
        <v>583</v>
      </c>
      <c r="C342" s="3" t="s">
        <v>154</v>
      </c>
      <c r="D342" s="5">
        <v>44.4</v>
      </c>
      <c r="E342" s="5">
        <v>8.9</v>
      </c>
      <c r="F342" s="12">
        <v>1884</v>
      </c>
      <c r="G342" s="12">
        <v>2014</v>
      </c>
      <c r="H342" s="5">
        <f t="shared" si="3"/>
        <v>102.7433</v>
      </c>
      <c r="I342" s="12" t="s">
        <v>739</v>
      </c>
      <c r="J342" s="15">
        <f>(1+(G342-F342))*0.2157</f>
        <v>28.256700000000002</v>
      </c>
      <c r="K342" s="3" t="s">
        <v>741</v>
      </c>
      <c r="L342" s="3" t="s">
        <v>10</v>
      </c>
      <c r="M342" s="12" t="s">
        <v>279</v>
      </c>
      <c r="N342" s="6" t="s">
        <v>584</v>
      </c>
      <c r="O342" s="17"/>
      <c r="P342" s="17"/>
      <c r="Q342" s="17"/>
      <c r="R342" s="17"/>
      <c r="S342" s="17"/>
      <c r="T342" s="17"/>
      <c r="U342" s="17"/>
      <c r="V342" s="17"/>
    </row>
    <row r="343" spans="1:22" s="12" customFormat="1" x14ac:dyDescent="0.35">
      <c r="A343" s="25" t="s">
        <v>582</v>
      </c>
      <c r="B343" s="24" t="s">
        <v>585</v>
      </c>
      <c r="C343" s="3" t="s">
        <v>203</v>
      </c>
      <c r="D343" s="5">
        <v>36.119999999999997</v>
      </c>
      <c r="E343" s="5">
        <v>-5.43</v>
      </c>
      <c r="F343" s="12">
        <v>1943</v>
      </c>
      <c r="G343" s="12">
        <v>2018</v>
      </c>
      <c r="H343" s="5">
        <f t="shared" si="3"/>
        <v>61.1496</v>
      </c>
      <c r="I343" s="12" t="s">
        <v>739</v>
      </c>
      <c r="J343" s="15">
        <f>(1+(G343-F343))*0.1954</f>
        <v>14.850399999999999</v>
      </c>
      <c r="K343" s="3" t="s">
        <v>741</v>
      </c>
      <c r="L343" s="3" t="s">
        <v>10</v>
      </c>
      <c r="M343" s="12" t="s">
        <v>279</v>
      </c>
      <c r="N343" s="6" t="s">
        <v>584</v>
      </c>
      <c r="O343" s="17"/>
      <c r="P343" s="17"/>
      <c r="Q343" s="17"/>
      <c r="R343" s="17"/>
      <c r="S343" s="17"/>
      <c r="T343" s="17"/>
      <c r="U343" s="17"/>
      <c r="V343" s="17"/>
    </row>
    <row r="344" spans="1:22" s="12" customFormat="1" x14ac:dyDescent="0.35">
      <c r="A344" s="25" t="s">
        <v>582</v>
      </c>
      <c r="B344" s="24" t="s">
        <v>586</v>
      </c>
      <c r="C344" s="3" t="s">
        <v>154</v>
      </c>
      <c r="D344" s="5">
        <v>39.200000000000003</v>
      </c>
      <c r="E344" s="5">
        <v>9.17</v>
      </c>
      <c r="F344" s="12">
        <v>1896</v>
      </c>
      <c r="G344" s="12">
        <v>2014</v>
      </c>
      <c r="H344" s="5">
        <f t="shared" si="3"/>
        <v>50.325100000000006</v>
      </c>
      <c r="I344" s="12" t="s">
        <v>739</v>
      </c>
      <c r="J344" s="15">
        <f>(1+(G344-F344))*0.5771</f>
        <v>68.674899999999994</v>
      </c>
      <c r="K344" s="3" t="s">
        <v>741</v>
      </c>
      <c r="L344" s="3" t="s">
        <v>10</v>
      </c>
      <c r="M344" s="12" t="s">
        <v>279</v>
      </c>
      <c r="N344" s="6" t="s">
        <v>584</v>
      </c>
      <c r="O344" s="17"/>
      <c r="P344" s="17"/>
      <c r="Q344" s="17"/>
      <c r="R344" s="17"/>
      <c r="S344" s="17"/>
      <c r="T344" s="17"/>
      <c r="U344" s="17"/>
      <c r="V344" s="17"/>
    </row>
    <row r="345" spans="1:22" s="12" customFormat="1" x14ac:dyDescent="0.35">
      <c r="A345" s="25" t="s">
        <v>582</v>
      </c>
      <c r="B345" s="24" t="s">
        <v>587</v>
      </c>
      <c r="C345" s="3" t="s">
        <v>203</v>
      </c>
      <c r="D345" s="5">
        <v>35.89</v>
      </c>
      <c r="E345" s="15">
        <v>-5.32</v>
      </c>
      <c r="F345" s="12">
        <v>1944</v>
      </c>
      <c r="G345" s="12">
        <v>2018</v>
      </c>
      <c r="H345" s="5">
        <f t="shared" si="3"/>
        <v>72.540000000000006</v>
      </c>
      <c r="I345" s="12" t="s">
        <v>739</v>
      </c>
      <c r="J345" s="15">
        <f>(1+(G345-F345))*0.0328</f>
        <v>2.4600000000000004</v>
      </c>
      <c r="K345" s="3" t="s">
        <v>741</v>
      </c>
      <c r="L345" s="3" t="s">
        <v>10</v>
      </c>
      <c r="M345" s="12" t="s">
        <v>279</v>
      </c>
      <c r="N345" s="6" t="s">
        <v>584</v>
      </c>
      <c r="O345" s="17"/>
      <c r="P345" s="17"/>
      <c r="Q345" s="17"/>
      <c r="R345" s="17"/>
      <c r="S345" s="17"/>
      <c r="T345" s="17"/>
      <c r="U345" s="17"/>
      <c r="V345" s="17"/>
    </row>
    <row r="346" spans="1:22" s="12" customFormat="1" x14ac:dyDescent="0.35">
      <c r="A346" s="25" t="s">
        <v>582</v>
      </c>
      <c r="B346" s="24" t="s">
        <v>588</v>
      </c>
      <c r="C346" s="3" t="s">
        <v>203</v>
      </c>
      <c r="D346" s="5">
        <v>36.71</v>
      </c>
      <c r="E346" s="15">
        <v>-4.42</v>
      </c>
      <c r="F346" s="12">
        <v>1944</v>
      </c>
      <c r="G346" s="12">
        <v>2018</v>
      </c>
      <c r="H346" s="5">
        <f t="shared" si="3"/>
        <v>62.67</v>
      </c>
      <c r="I346" s="12" t="s">
        <v>739</v>
      </c>
      <c r="J346" s="15">
        <f>(1+(G346-F346))*0.1644</f>
        <v>12.33</v>
      </c>
      <c r="K346" s="3" t="s">
        <v>741</v>
      </c>
      <c r="L346" s="3" t="s">
        <v>10</v>
      </c>
      <c r="M346" s="12" t="s">
        <v>279</v>
      </c>
      <c r="N346" s="6" t="s">
        <v>584</v>
      </c>
      <c r="O346" s="17"/>
      <c r="P346" s="17"/>
      <c r="Q346" s="17"/>
      <c r="R346" s="17"/>
      <c r="S346" s="17"/>
      <c r="T346" s="17"/>
      <c r="U346" s="17"/>
      <c r="V346" s="17"/>
    </row>
    <row r="347" spans="1:22" s="12" customFormat="1" x14ac:dyDescent="0.35">
      <c r="A347" s="25" t="s">
        <v>582</v>
      </c>
      <c r="B347" s="24" t="s">
        <v>589</v>
      </c>
      <c r="C347" s="3" t="s">
        <v>589</v>
      </c>
      <c r="D347" s="5">
        <v>43.73</v>
      </c>
      <c r="E347" s="5">
        <v>7.42</v>
      </c>
      <c r="F347" s="12">
        <v>1956</v>
      </c>
      <c r="G347" s="12">
        <v>2019</v>
      </c>
      <c r="H347" s="5">
        <f t="shared" si="3"/>
        <v>33.177599999999998</v>
      </c>
      <c r="I347" s="12" t="s">
        <v>739</v>
      </c>
      <c r="J347" s="15">
        <f>(1+(G347-F347))*0.4816</f>
        <v>30.822399999999998</v>
      </c>
      <c r="K347" s="3" t="s">
        <v>741</v>
      </c>
      <c r="L347" s="3" t="s">
        <v>10</v>
      </c>
      <c r="M347" s="12" t="s">
        <v>279</v>
      </c>
      <c r="N347" s="6" t="s">
        <v>584</v>
      </c>
      <c r="O347" s="17"/>
      <c r="P347" s="17"/>
      <c r="Q347" s="17"/>
      <c r="R347" s="17"/>
      <c r="S347" s="17"/>
      <c r="T347" s="17"/>
      <c r="U347" s="17"/>
      <c r="V347" s="17"/>
    </row>
    <row r="348" spans="1:22" x14ac:dyDescent="0.35">
      <c r="A348" s="25" t="s">
        <v>582</v>
      </c>
      <c r="B348" s="24" t="s">
        <v>590</v>
      </c>
      <c r="C348" s="3" t="s">
        <v>154</v>
      </c>
      <c r="D348" s="5">
        <v>43.87</v>
      </c>
      <c r="E348" s="5">
        <v>8.02</v>
      </c>
      <c r="F348" s="12">
        <v>1896</v>
      </c>
      <c r="G348" s="12">
        <v>1922</v>
      </c>
      <c r="H348" s="5">
        <f t="shared" si="3"/>
        <v>26.7408</v>
      </c>
      <c r="I348" s="12" t="s">
        <v>739</v>
      </c>
      <c r="J348" s="15">
        <f>(1+(G348-F348))*0.0096</f>
        <v>0.25919999999999999</v>
      </c>
      <c r="K348" s="3" t="s">
        <v>741</v>
      </c>
      <c r="L348" s="3" t="s">
        <v>10</v>
      </c>
      <c r="M348" s="12" t="s">
        <v>279</v>
      </c>
      <c r="N348" s="6" t="s">
        <v>584</v>
      </c>
    </row>
    <row r="349" spans="1:22" x14ac:dyDescent="0.35">
      <c r="A349" s="25" t="s">
        <v>582</v>
      </c>
      <c r="B349" s="24" t="s">
        <v>591</v>
      </c>
      <c r="C349" s="3" t="s">
        <v>203</v>
      </c>
      <c r="D349" s="5">
        <v>36.01</v>
      </c>
      <c r="E349" s="15">
        <v>-5.6</v>
      </c>
      <c r="F349" s="12">
        <v>1943</v>
      </c>
      <c r="G349" s="12">
        <v>2018</v>
      </c>
      <c r="H349" s="5">
        <f t="shared" si="3"/>
        <v>71.7136</v>
      </c>
      <c r="I349" s="12" t="s">
        <v>739</v>
      </c>
      <c r="J349" s="15">
        <f>(1+(G349-F349))*0.0564</f>
        <v>4.2863999999999995</v>
      </c>
      <c r="K349" s="3" t="s">
        <v>741</v>
      </c>
      <c r="L349" s="3" t="s">
        <v>10</v>
      </c>
      <c r="M349" s="12" t="s">
        <v>279</v>
      </c>
      <c r="N349" s="6" t="s">
        <v>584</v>
      </c>
    </row>
    <row r="350" spans="1:22" x14ac:dyDescent="0.35">
      <c r="A350" s="25" t="s">
        <v>582</v>
      </c>
      <c r="B350" s="24" t="s">
        <v>592</v>
      </c>
      <c r="C350" s="3" t="s">
        <v>593</v>
      </c>
      <c r="D350" s="5">
        <v>35.25</v>
      </c>
      <c r="E350" s="15">
        <v>-3.92</v>
      </c>
      <c r="F350" s="12">
        <v>1944</v>
      </c>
      <c r="G350" s="12">
        <v>1949</v>
      </c>
      <c r="H350" s="5">
        <f t="shared" si="3"/>
        <v>6</v>
      </c>
      <c r="I350" s="12" t="s">
        <v>16</v>
      </c>
      <c r="J350" s="15">
        <v>0</v>
      </c>
      <c r="K350" s="3" t="s">
        <v>741</v>
      </c>
      <c r="L350" s="3" t="s">
        <v>10</v>
      </c>
      <c r="M350" s="12" t="s">
        <v>279</v>
      </c>
      <c r="N350" s="6" t="s">
        <v>584</v>
      </c>
    </row>
    <row r="351" spans="1:22" x14ac:dyDescent="0.35">
      <c r="A351" s="4" t="s">
        <v>594</v>
      </c>
      <c r="B351" s="3" t="s">
        <v>595</v>
      </c>
      <c r="C351" s="3" t="s">
        <v>53</v>
      </c>
      <c r="D351" s="5">
        <v>51.842799999999997</v>
      </c>
      <c r="E351" s="5">
        <v>1.2817000000000001</v>
      </c>
      <c r="F351" s="3">
        <v>1968</v>
      </c>
      <c r="G351" s="3">
        <v>1995</v>
      </c>
      <c r="H351" s="5">
        <f t="shared" si="3"/>
        <v>27</v>
      </c>
      <c r="I351" s="3">
        <v>1979</v>
      </c>
      <c r="J351" s="5">
        <v>1</v>
      </c>
      <c r="K351" s="3" t="s">
        <v>741</v>
      </c>
      <c r="L351" s="3" t="s">
        <v>10</v>
      </c>
      <c r="M351" s="3" t="s">
        <v>137</v>
      </c>
      <c r="N351" s="6" t="s">
        <v>596</v>
      </c>
    </row>
    <row r="352" spans="1:22" x14ac:dyDescent="0.35">
      <c r="A352" s="4" t="s">
        <v>594</v>
      </c>
      <c r="B352" s="3" t="s">
        <v>597</v>
      </c>
      <c r="C352" s="3" t="s">
        <v>53</v>
      </c>
      <c r="D352" s="5">
        <v>51.391399999999997</v>
      </c>
      <c r="E352" s="5">
        <v>1.3796999999999999</v>
      </c>
      <c r="F352" s="3">
        <v>1967</v>
      </c>
      <c r="G352" s="3">
        <v>1995</v>
      </c>
      <c r="H352" s="5">
        <f t="shared" si="3"/>
        <v>28</v>
      </c>
      <c r="I352" s="3">
        <v>1978</v>
      </c>
      <c r="J352" s="5">
        <v>1</v>
      </c>
      <c r="K352" s="3" t="s">
        <v>741</v>
      </c>
      <c r="L352" s="3" t="s">
        <v>10</v>
      </c>
      <c r="M352" s="3" t="s">
        <v>137</v>
      </c>
      <c r="N352" s="6" t="s">
        <v>596</v>
      </c>
    </row>
    <row r="353" spans="1:14" x14ac:dyDescent="0.35">
      <c r="A353" s="4" t="s">
        <v>594</v>
      </c>
      <c r="B353" s="3" t="s">
        <v>598</v>
      </c>
      <c r="C353" s="3" t="s">
        <v>53</v>
      </c>
      <c r="D353" s="5">
        <v>51.472299999999997</v>
      </c>
      <c r="E353" s="5">
        <v>1.1081000000000001</v>
      </c>
      <c r="F353" s="3">
        <v>1974</v>
      </c>
      <c r="G353" s="3">
        <v>1974</v>
      </c>
      <c r="H353" s="5">
        <f t="shared" si="3"/>
        <v>1</v>
      </c>
      <c r="I353" s="3" t="s">
        <v>16</v>
      </c>
      <c r="J353" s="5">
        <v>0</v>
      </c>
      <c r="K353" s="3" t="s">
        <v>741</v>
      </c>
      <c r="L353" s="3" t="s">
        <v>10</v>
      </c>
      <c r="M353" s="3" t="s">
        <v>137</v>
      </c>
      <c r="N353" s="6" t="s">
        <v>596</v>
      </c>
    </row>
    <row r="354" spans="1:14" x14ac:dyDescent="0.35">
      <c r="A354" s="4" t="s">
        <v>594</v>
      </c>
      <c r="B354" s="3" t="s">
        <v>504</v>
      </c>
      <c r="C354" s="3" t="s">
        <v>53</v>
      </c>
      <c r="D354" s="5">
        <v>51.5139</v>
      </c>
      <c r="E354" s="5">
        <v>0.72550000000000003</v>
      </c>
      <c r="F354" s="3">
        <v>1911</v>
      </c>
      <c r="G354" s="3">
        <v>1995</v>
      </c>
      <c r="H354" s="5">
        <f t="shared" si="3"/>
        <v>85</v>
      </c>
      <c r="I354" s="3" t="s">
        <v>16</v>
      </c>
      <c r="J354" s="5">
        <v>0</v>
      </c>
      <c r="K354" s="3" t="s">
        <v>741</v>
      </c>
      <c r="L354" s="3" t="s">
        <v>10</v>
      </c>
      <c r="M354" s="3" t="s">
        <v>137</v>
      </c>
      <c r="N354" s="6" t="s">
        <v>596</v>
      </c>
    </row>
    <row r="355" spans="1:14" x14ac:dyDescent="0.35">
      <c r="A355" s="4" t="s">
        <v>594</v>
      </c>
      <c r="B355" s="3" t="s">
        <v>599</v>
      </c>
      <c r="C355" s="3" t="s">
        <v>53</v>
      </c>
      <c r="D355" s="5">
        <v>51.504100000000001</v>
      </c>
      <c r="E355" s="5">
        <v>0.50680000000000003</v>
      </c>
      <c r="F355" s="3">
        <v>1969</v>
      </c>
      <c r="G355" s="3">
        <v>1983</v>
      </c>
      <c r="H355" s="5">
        <f t="shared" si="3"/>
        <v>15</v>
      </c>
      <c r="I355" s="3" t="s">
        <v>16</v>
      </c>
      <c r="J355" s="5">
        <v>0</v>
      </c>
      <c r="K355" s="3" t="s">
        <v>741</v>
      </c>
      <c r="L355" s="3" t="s">
        <v>10</v>
      </c>
      <c r="M355" s="3" t="s">
        <v>137</v>
      </c>
      <c r="N355" s="6" t="s">
        <v>596</v>
      </c>
    </row>
    <row r="356" spans="1:14" x14ac:dyDescent="0.35">
      <c r="A356" s="4" t="s">
        <v>594</v>
      </c>
      <c r="B356" s="3" t="s">
        <v>505</v>
      </c>
      <c r="C356" s="3" t="s">
        <v>53</v>
      </c>
      <c r="D356" s="5">
        <v>51.456200000000003</v>
      </c>
      <c r="E356" s="5">
        <v>0.33679999999999999</v>
      </c>
      <c r="F356" s="3">
        <v>1912</v>
      </c>
      <c r="G356" s="3">
        <v>1995</v>
      </c>
      <c r="H356" s="5">
        <f t="shared" si="3"/>
        <v>84</v>
      </c>
      <c r="I356" s="3" t="s">
        <v>16</v>
      </c>
      <c r="J356" s="5">
        <v>0</v>
      </c>
      <c r="K356" s="3" t="s">
        <v>741</v>
      </c>
      <c r="L356" s="3" t="s">
        <v>10</v>
      </c>
      <c r="M356" s="3" t="s">
        <v>137</v>
      </c>
      <c r="N356" s="6" t="s">
        <v>596</v>
      </c>
    </row>
    <row r="357" spans="1:14" x14ac:dyDescent="0.35">
      <c r="A357" s="4" t="s">
        <v>594</v>
      </c>
      <c r="B357" s="3" t="s">
        <v>600</v>
      </c>
      <c r="C357" s="3" t="s">
        <v>53</v>
      </c>
      <c r="D357" s="5">
        <v>51.506900000000002</v>
      </c>
      <c r="E357" s="5">
        <v>5.1799999999999999E-2</v>
      </c>
      <c r="F357" s="3">
        <v>1915</v>
      </c>
      <c r="G357" s="3">
        <v>1990</v>
      </c>
      <c r="H357" s="5">
        <f t="shared" si="3"/>
        <v>36</v>
      </c>
      <c r="I357" s="3" t="s">
        <v>601</v>
      </c>
      <c r="J357" s="5">
        <v>40</v>
      </c>
      <c r="K357" s="3" t="s">
        <v>741</v>
      </c>
      <c r="L357" s="3" t="s">
        <v>10</v>
      </c>
      <c r="M357" s="3" t="s">
        <v>137</v>
      </c>
      <c r="N357" s="6" t="s">
        <v>596</v>
      </c>
    </row>
    <row r="358" spans="1:14" x14ac:dyDescent="0.35">
      <c r="A358" s="4" t="s">
        <v>594</v>
      </c>
      <c r="B358" s="3" t="s">
        <v>602</v>
      </c>
      <c r="C358" s="3" t="s">
        <v>53</v>
      </c>
      <c r="D358" s="5">
        <v>51.498199999999997</v>
      </c>
      <c r="E358" s="5">
        <v>4.7800000000000002E-2</v>
      </c>
      <c r="F358" s="3">
        <v>1950</v>
      </c>
      <c r="G358" s="3">
        <v>1975</v>
      </c>
      <c r="H358" s="5">
        <f t="shared" si="3"/>
        <v>26</v>
      </c>
      <c r="I358" s="3" t="s">
        <v>16</v>
      </c>
      <c r="J358" s="5">
        <v>0</v>
      </c>
      <c r="K358" s="3" t="s">
        <v>741</v>
      </c>
      <c r="L358" s="3" t="s">
        <v>10</v>
      </c>
      <c r="M358" s="3" t="s">
        <v>137</v>
      </c>
      <c r="N358" s="6" t="s">
        <v>596</v>
      </c>
    </row>
    <row r="359" spans="1:14" x14ac:dyDescent="0.35">
      <c r="A359" s="4" t="s">
        <v>594</v>
      </c>
      <c r="B359" s="3" t="s">
        <v>603</v>
      </c>
      <c r="C359" s="3" t="s">
        <v>53</v>
      </c>
      <c r="D359" s="5">
        <v>51.501300000000001</v>
      </c>
      <c r="E359" s="5">
        <v>-6.0999999999999999E-2</v>
      </c>
      <c r="F359" s="3">
        <v>1911</v>
      </c>
      <c r="G359" s="3">
        <v>1934</v>
      </c>
      <c r="H359" s="5">
        <f t="shared" si="3"/>
        <v>24</v>
      </c>
      <c r="I359" s="3" t="s">
        <v>16</v>
      </c>
      <c r="J359" s="5">
        <v>0</v>
      </c>
      <c r="K359" s="3" t="s">
        <v>742</v>
      </c>
      <c r="L359" s="3" t="s">
        <v>10</v>
      </c>
      <c r="M359" s="3" t="s">
        <v>137</v>
      </c>
      <c r="N359" s="6" t="s">
        <v>596</v>
      </c>
    </row>
    <row r="360" spans="1:14" x14ac:dyDescent="0.35">
      <c r="A360" s="4" t="s">
        <v>594</v>
      </c>
      <c r="B360" s="3" t="s">
        <v>506</v>
      </c>
      <c r="C360" s="3" t="s">
        <v>53</v>
      </c>
      <c r="D360" s="5">
        <v>51.506999999999998</v>
      </c>
      <c r="E360" s="5">
        <v>-7.7499999999999999E-2</v>
      </c>
      <c r="F360" s="3">
        <v>1929</v>
      </c>
      <c r="G360" s="3">
        <v>1995</v>
      </c>
      <c r="H360" s="5">
        <f t="shared" si="3"/>
        <v>67</v>
      </c>
      <c r="I360" s="3" t="s">
        <v>16</v>
      </c>
      <c r="J360" s="5">
        <v>0</v>
      </c>
      <c r="K360" s="3" t="s">
        <v>742</v>
      </c>
      <c r="L360" s="3" t="s">
        <v>10</v>
      </c>
      <c r="M360" s="3" t="s">
        <v>137</v>
      </c>
      <c r="N360" s="6" t="s">
        <v>596</v>
      </c>
    </row>
    <row r="361" spans="1:14" x14ac:dyDescent="0.35">
      <c r="A361" s="4" t="s">
        <v>594</v>
      </c>
      <c r="B361" s="3" t="s">
        <v>604</v>
      </c>
      <c r="C361" s="3" t="s">
        <v>53</v>
      </c>
      <c r="D361" s="5">
        <v>51.507199999999997</v>
      </c>
      <c r="E361" s="5">
        <v>-9.1899999999999996E-2</v>
      </c>
      <c r="F361" s="3">
        <v>1911</v>
      </c>
      <c r="G361" s="3">
        <v>1929</v>
      </c>
      <c r="H361" s="5">
        <f t="shared" si="3"/>
        <v>19</v>
      </c>
      <c r="I361" s="3" t="s">
        <v>16</v>
      </c>
      <c r="J361" s="5">
        <v>0</v>
      </c>
      <c r="K361" s="3" t="s">
        <v>742</v>
      </c>
      <c r="L361" s="3" t="s">
        <v>10</v>
      </c>
      <c r="M361" s="3" t="s">
        <v>137</v>
      </c>
      <c r="N361" s="6" t="s">
        <v>596</v>
      </c>
    </row>
    <row r="362" spans="1:14" x14ac:dyDescent="0.35">
      <c r="A362" s="4" t="s">
        <v>594</v>
      </c>
      <c r="B362" s="3" t="s">
        <v>605</v>
      </c>
      <c r="C362" s="3" t="s">
        <v>53</v>
      </c>
      <c r="D362" s="5">
        <v>51.446800000000003</v>
      </c>
      <c r="E362" s="5">
        <v>0.7601</v>
      </c>
      <c r="F362" s="3">
        <v>1911</v>
      </c>
      <c r="G362" s="3">
        <v>1911</v>
      </c>
      <c r="H362" s="5">
        <f t="shared" si="3"/>
        <v>8.333333333333337E-2</v>
      </c>
      <c r="I362" s="3" t="s">
        <v>16</v>
      </c>
      <c r="J362" s="5">
        <f>11/12</f>
        <v>0.91666666666666663</v>
      </c>
      <c r="K362" s="3" t="s">
        <v>741</v>
      </c>
      <c r="L362" s="3" t="s">
        <v>10</v>
      </c>
      <c r="M362" s="3" t="s">
        <v>137</v>
      </c>
      <c r="N362" s="6" t="s">
        <v>596</v>
      </c>
    </row>
    <row r="363" spans="1:14" x14ac:dyDescent="0.35">
      <c r="A363" s="4" t="s">
        <v>594</v>
      </c>
      <c r="B363" s="3" t="s">
        <v>606</v>
      </c>
      <c r="C363" s="3" t="s">
        <v>53</v>
      </c>
      <c r="D363" s="5">
        <v>51.5107</v>
      </c>
      <c r="E363" s="5">
        <v>-0.1123</v>
      </c>
      <c r="F363" s="3">
        <v>1911</v>
      </c>
      <c r="G363" s="3">
        <v>1918</v>
      </c>
      <c r="H363" s="5">
        <f t="shared" si="3"/>
        <v>8</v>
      </c>
      <c r="I363" s="3" t="s">
        <v>16</v>
      </c>
      <c r="J363" s="5">
        <v>0</v>
      </c>
      <c r="K363" s="3" t="s">
        <v>741</v>
      </c>
      <c r="L363" s="3" t="s">
        <v>10</v>
      </c>
      <c r="M363" s="3" t="s">
        <v>137</v>
      </c>
      <c r="N363" s="6" t="s">
        <v>596</v>
      </c>
    </row>
    <row r="364" spans="1:14" x14ac:dyDescent="0.35">
      <c r="A364" s="4" t="s">
        <v>594</v>
      </c>
      <c r="B364" s="3" t="s">
        <v>607</v>
      </c>
      <c r="C364" s="3" t="s">
        <v>53</v>
      </c>
      <c r="D364" s="5">
        <v>51.486699999999999</v>
      </c>
      <c r="E364" s="5">
        <v>-0.28410000000000002</v>
      </c>
      <c r="F364" s="3">
        <v>1911</v>
      </c>
      <c r="G364" s="3">
        <v>1924</v>
      </c>
      <c r="H364" s="5">
        <f t="shared" si="3"/>
        <v>14</v>
      </c>
      <c r="I364" s="3" t="s">
        <v>16</v>
      </c>
      <c r="J364" s="5">
        <v>0</v>
      </c>
      <c r="K364" s="3" t="s">
        <v>741</v>
      </c>
      <c r="L364" s="3" t="s">
        <v>10</v>
      </c>
      <c r="M364" s="3" t="s">
        <v>137</v>
      </c>
      <c r="N364" s="6" t="s">
        <v>596</v>
      </c>
    </row>
    <row r="365" spans="1:14" x14ac:dyDescent="0.35">
      <c r="A365" s="4" t="s">
        <v>594</v>
      </c>
      <c r="B365" s="3" t="s">
        <v>608</v>
      </c>
      <c r="C365" s="3" t="s">
        <v>53</v>
      </c>
      <c r="D365" s="5">
        <v>51.462299999999999</v>
      </c>
      <c r="E365" s="5">
        <v>-0.31590000000000001</v>
      </c>
      <c r="F365" s="3">
        <v>1911</v>
      </c>
      <c r="G365" s="3">
        <v>1995</v>
      </c>
      <c r="H365" s="5">
        <f t="shared" si="3"/>
        <v>85</v>
      </c>
      <c r="I365" s="3" t="s">
        <v>16</v>
      </c>
      <c r="J365" s="5">
        <v>0</v>
      </c>
      <c r="K365" s="3" t="s">
        <v>741</v>
      </c>
      <c r="L365" s="3" t="s">
        <v>10</v>
      </c>
      <c r="M365" s="3" t="s">
        <v>137</v>
      </c>
      <c r="N365" s="6" t="s">
        <v>596</v>
      </c>
    </row>
    <row r="366" spans="1:14" x14ac:dyDescent="0.35">
      <c r="A366" s="4" t="s">
        <v>609</v>
      </c>
      <c r="B366" s="3" t="s">
        <v>610</v>
      </c>
      <c r="C366" s="3" t="s">
        <v>94</v>
      </c>
      <c r="D366" s="5">
        <v>43.395269999999996</v>
      </c>
      <c r="E366" s="5">
        <v>-1.6816420000000001</v>
      </c>
      <c r="F366" s="3">
        <v>1942</v>
      </c>
      <c r="G366" s="3">
        <v>2004</v>
      </c>
      <c r="H366" s="5">
        <f t="shared" si="3"/>
        <v>54.5</v>
      </c>
      <c r="I366" s="3" t="s">
        <v>611</v>
      </c>
      <c r="J366" s="5">
        <f>6+0.5+2</f>
        <v>8.5</v>
      </c>
      <c r="K366" s="3" t="s">
        <v>261</v>
      </c>
      <c r="L366" s="3" t="s">
        <v>174</v>
      </c>
      <c r="M366" s="3" t="s">
        <v>612</v>
      </c>
      <c r="N366" s="7" t="s">
        <v>613</v>
      </c>
    </row>
    <row r="367" spans="1:14" x14ac:dyDescent="0.35">
      <c r="A367" s="4" t="s">
        <v>609</v>
      </c>
      <c r="B367" s="3" t="s">
        <v>610</v>
      </c>
      <c r="C367" s="3" t="s">
        <v>94</v>
      </c>
      <c r="D367" s="5">
        <v>43.395269999999996</v>
      </c>
      <c r="E367" s="5">
        <v>-1.6816420000000001</v>
      </c>
      <c r="F367" s="3">
        <v>1875</v>
      </c>
      <c r="G367" s="3">
        <v>1920</v>
      </c>
      <c r="H367" s="5">
        <f t="shared" si="3"/>
        <v>46</v>
      </c>
      <c r="I367" s="3" t="s">
        <v>16</v>
      </c>
      <c r="J367" s="5">
        <v>0</v>
      </c>
      <c r="K367" s="3" t="s">
        <v>741</v>
      </c>
      <c r="L367" s="3" t="s">
        <v>10</v>
      </c>
      <c r="M367" s="3" t="s">
        <v>23</v>
      </c>
      <c r="N367" s="7" t="s">
        <v>746</v>
      </c>
    </row>
    <row r="368" spans="1:14" x14ac:dyDescent="0.35">
      <c r="A368" s="4" t="s">
        <v>614</v>
      </c>
      <c r="B368" s="27" t="s">
        <v>615</v>
      </c>
      <c r="C368" s="3" t="s">
        <v>616</v>
      </c>
      <c r="D368" s="5">
        <v>5.3038499999999997</v>
      </c>
      <c r="E368" s="5">
        <v>-4.0261300000000002</v>
      </c>
      <c r="F368" s="3">
        <v>1979</v>
      </c>
      <c r="G368" s="3">
        <v>2011</v>
      </c>
      <c r="H368" s="5">
        <f t="shared" si="3"/>
        <v>33</v>
      </c>
      <c r="I368" s="3" t="s">
        <v>16</v>
      </c>
      <c r="J368" s="5">
        <v>0</v>
      </c>
      <c r="K368" s="3" t="s">
        <v>261</v>
      </c>
      <c r="L368" s="3" t="s">
        <v>174</v>
      </c>
      <c r="M368" s="28" t="s">
        <v>23</v>
      </c>
      <c r="N368" s="7" t="s">
        <v>617</v>
      </c>
    </row>
    <row r="369" spans="1:14" ht="29" x14ac:dyDescent="0.35">
      <c r="A369" s="4" t="s">
        <v>618</v>
      </c>
      <c r="B369" s="3" t="s">
        <v>619</v>
      </c>
      <c r="C369" s="3" t="s">
        <v>71</v>
      </c>
      <c r="D369" s="5">
        <v>-37.860917999999998</v>
      </c>
      <c r="E369" s="5">
        <v>144.90595300000001</v>
      </c>
      <c r="F369" s="3">
        <v>1927</v>
      </c>
      <c r="G369" s="3">
        <v>1965</v>
      </c>
      <c r="H369" s="5">
        <f t="shared" si="3"/>
        <v>35</v>
      </c>
      <c r="I369" s="11" t="s">
        <v>620</v>
      </c>
      <c r="J369" s="5">
        <v>4</v>
      </c>
      <c r="K369" s="3" t="s">
        <v>261</v>
      </c>
      <c r="L369" s="3" t="s">
        <v>621</v>
      </c>
      <c r="M369" s="3" t="s">
        <v>23</v>
      </c>
      <c r="N369" s="29" t="s">
        <v>622</v>
      </c>
    </row>
    <row r="370" spans="1:14" ht="29" x14ac:dyDescent="0.35">
      <c r="A370" s="4" t="s">
        <v>618</v>
      </c>
      <c r="B370" s="3" t="s">
        <v>619</v>
      </c>
      <c r="C370" s="3" t="s">
        <v>71</v>
      </c>
      <c r="D370" s="5">
        <v>-37.860917999999998</v>
      </c>
      <c r="E370" s="5">
        <v>144.91</v>
      </c>
      <c r="F370" s="3">
        <v>1872</v>
      </c>
      <c r="G370" s="3">
        <v>1966</v>
      </c>
      <c r="H370" s="5">
        <f t="shared" si="3"/>
        <v>91</v>
      </c>
      <c r="I370" s="11" t="s">
        <v>623</v>
      </c>
      <c r="J370" s="5">
        <v>4</v>
      </c>
      <c r="K370" s="3" t="s">
        <v>741</v>
      </c>
      <c r="L370" s="3" t="s">
        <v>10</v>
      </c>
      <c r="M370" s="3" t="s">
        <v>137</v>
      </c>
      <c r="N370" s="29" t="s">
        <v>622</v>
      </c>
    </row>
    <row r="371" spans="1:14" x14ac:dyDescent="0.35">
      <c r="A371" s="4" t="s">
        <v>624</v>
      </c>
      <c r="B371" s="30" t="s">
        <v>625</v>
      </c>
      <c r="C371" s="3" t="s">
        <v>21</v>
      </c>
      <c r="D371" s="5">
        <v>53.295285</v>
      </c>
      <c r="E371" s="5">
        <v>-6.1311609999999996</v>
      </c>
      <c r="F371" s="3">
        <v>1925</v>
      </c>
      <c r="G371" s="3">
        <v>1931</v>
      </c>
      <c r="H371" s="5">
        <f t="shared" si="3"/>
        <v>4.3531827515400412</v>
      </c>
      <c r="I371" s="3" t="s">
        <v>739</v>
      </c>
      <c r="J371" s="5">
        <f>7-((288+226+222+218+299+105+232)/365.25)</f>
        <v>2.6468172484599588</v>
      </c>
      <c r="K371" s="3" t="s">
        <v>261</v>
      </c>
      <c r="L371" s="3" t="s">
        <v>626</v>
      </c>
      <c r="M371" s="3" t="s">
        <v>23</v>
      </c>
      <c r="N371" s="6" t="s">
        <v>627</v>
      </c>
    </row>
    <row r="372" spans="1:14" x14ac:dyDescent="0.35">
      <c r="A372" s="4" t="s">
        <v>628</v>
      </c>
      <c r="B372" s="31" t="s">
        <v>629</v>
      </c>
      <c r="C372" s="3" t="s">
        <v>31</v>
      </c>
      <c r="D372" s="32">
        <v>38.588610000000003</v>
      </c>
      <c r="E372" s="5">
        <v>-121.51</v>
      </c>
      <c r="F372" s="33">
        <v>1919</v>
      </c>
      <c r="G372" s="33">
        <f>F372+105</f>
        <v>2024</v>
      </c>
      <c r="H372" s="5">
        <v>74</v>
      </c>
      <c r="I372" s="3" t="s">
        <v>739</v>
      </c>
      <c r="J372" s="5">
        <f>(G372-F372)-H372</f>
        <v>31</v>
      </c>
      <c r="K372" s="3" t="s">
        <v>741</v>
      </c>
      <c r="L372" s="3" t="s">
        <v>10</v>
      </c>
      <c r="M372" s="3" t="s">
        <v>137</v>
      </c>
      <c r="N372" s="7" t="s">
        <v>630</v>
      </c>
    </row>
    <row r="373" spans="1:14" x14ac:dyDescent="0.35">
      <c r="A373" s="4" t="s">
        <v>628</v>
      </c>
      <c r="B373" s="31" t="s">
        <v>631</v>
      </c>
      <c r="C373" s="3" t="s">
        <v>31</v>
      </c>
      <c r="D373" s="32">
        <v>38.349580000000003</v>
      </c>
      <c r="E373" s="5">
        <v>-121.53355999999999</v>
      </c>
      <c r="F373" s="33">
        <v>1944</v>
      </c>
      <c r="G373" s="33">
        <f>F373+80</f>
        <v>2024</v>
      </c>
      <c r="H373" s="5">
        <v>78</v>
      </c>
      <c r="I373" s="3" t="s">
        <v>739</v>
      </c>
      <c r="J373" s="5">
        <f t="shared" ref="J373:J396" si="4">(G373-F373)-H373</f>
        <v>2</v>
      </c>
      <c r="K373" s="3" t="s">
        <v>741</v>
      </c>
      <c r="L373" s="3" t="s">
        <v>10</v>
      </c>
      <c r="M373" s="3" t="s">
        <v>137</v>
      </c>
      <c r="N373" s="7" t="s">
        <v>630</v>
      </c>
    </row>
    <row r="374" spans="1:14" x14ac:dyDescent="0.35">
      <c r="A374" s="4" t="s">
        <v>628</v>
      </c>
      <c r="B374" s="31" t="s">
        <v>632</v>
      </c>
      <c r="C374" s="3" t="s">
        <v>31</v>
      </c>
      <c r="D374" s="32">
        <v>38.255279999999999</v>
      </c>
      <c r="E374" s="5">
        <v>-121.44</v>
      </c>
      <c r="F374" s="33">
        <v>1959</v>
      </c>
      <c r="G374" s="33">
        <f>F374+65</f>
        <v>2024</v>
      </c>
      <c r="H374" s="5">
        <v>62.1</v>
      </c>
      <c r="I374" s="3" t="s">
        <v>739</v>
      </c>
      <c r="J374" s="5">
        <f t="shared" si="4"/>
        <v>2.8999999999999986</v>
      </c>
      <c r="K374" s="3" t="s">
        <v>741</v>
      </c>
      <c r="L374" s="3" t="s">
        <v>10</v>
      </c>
      <c r="M374" s="3" t="s">
        <v>137</v>
      </c>
      <c r="N374" s="7" t="s">
        <v>630</v>
      </c>
    </row>
    <row r="375" spans="1:14" x14ac:dyDescent="0.35">
      <c r="A375" s="4" t="s">
        <v>628</v>
      </c>
      <c r="B375" s="31" t="s">
        <v>633</v>
      </c>
      <c r="C375" s="3" t="s">
        <v>31</v>
      </c>
      <c r="D375" s="5">
        <v>38.239469999999997</v>
      </c>
      <c r="E375" s="5">
        <v>-121.51674</v>
      </c>
      <c r="F375" s="33">
        <v>1929</v>
      </c>
      <c r="G375" s="33">
        <f>F375+95</f>
        <v>2024</v>
      </c>
      <c r="H375" s="5">
        <v>74.900000000000006</v>
      </c>
      <c r="I375" s="3" t="s">
        <v>739</v>
      </c>
      <c r="J375" s="5">
        <f t="shared" si="4"/>
        <v>20.099999999999994</v>
      </c>
      <c r="K375" s="3" t="s">
        <v>741</v>
      </c>
      <c r="L375" s="3" t="s">
        <v>10</v>
      </c>
      <c r="M375" s="3" t="s">
        <v>137</v>
      </c>
      <c r="N375" s="7" t="s">
        <v>630</v>
      </c>
    </row>
    <row r="376" spans="1:14" x14ac:dyDescent="0.35">
      <c r="A376" s="4" t="s">
        <v>628</v>
      </c>
      <c r="B376" s="31" t="s">
        <v>634</v>
      </c>
      <c r="C376" s="3" t="s">
        <v>31</v>
      </c>
      <c r="D376" s="5">
        <v>38.225499999999997</v>
      </c>
      <c r="E376" s="5">
        <v>-121.4911</v>
      </c>
      <c r="F376" s="33">
        <v>1925</v>
      </c>
      <c r="G376" s="33">
        <f>F376+99</f>
        <v>2024</v>
      </c>
      <c r="H376" s="5">
        <v>98</v>
      </c>
      <c r="I376" s="3" t="s">
        <v>739</v>
      </c>
      <c r="J376" s="5">
        <f t="shared" si="4"/>
        <v>1</v>
      </c>
      <c r="K376" s="3" t="s">
        <v>741</v>
      </c>
      <c r="L376" s="3" t="s">
        <v>10</v>
      </c>
      <c r="M376" s="3" t="s">
        <v>137</v>
      </c>
      <c r="N376" s="7" t="s">
        <v>630</v>
      </c>
    </row>
    <row r="377" spans="1:14" x14ac:dyDescent="0.35">
      <c r="A377" s="4" t="s">
        <v>628</v>
      </c>
      <c r="B377" s="31" t="s">
        <v>635</v>
      </c>
      <c r="C377" s="3" t="s">
        <v>31</v>
      </c>
      <c r="D377" s="32">
        <v>38.15972</v>
      </c>
      <c r="E377" s="5">
        <v>-121.68639</v>
      </c>
      <c r="F377" s="33">
        <v>1915</v>
      </c>
      <c r="G377" s="33">
        <f>F377+109</f>
        <v>2024</v>
      </c>
      <c r="H377" s="5">
        <v>78.7</v>
      </c>
      <c r="I377" s="3" t="s">
        <v>739</v>
      </c>
      <c r="J377" s="5">
        <f t="shared" si="4"/>
        <v>30.299999999999997</v>
      </c>
      <c r="K377" s="3" t="s">
        <v>741</v>
      </c>
      <c r="L377" s="3" t="s">
        <v>10</v>
      </c>
      <c r="M377" s="3" t="s">
        <v>137</v>
      </c>
      <c r="N377" s="7" t="s">
        <v>630</v>
      </c>
    </row>
    <row r="378" spans="1:14" x14ac:dyDescent="0.35">
      <c r="A378" s="4" t="s">
        <v>628</v>
      </c>
      <c r="B378" s="31" t="s">
        <v>636</v>
      </c>
      <c r="C378" s="3" t="s">
        <v>31</v>
      </c>
      <c r="D378" s="5">
        <v>38.1295</v>
      </c>
      <c r="E378" s="5">
        <v>-121.58389</v>
      </c>
      <c r="F378" s="33">
        <v>1944</v>
      </c>
      <c r="G378" s="33">
        <f>F378+80</f>
        <v>2024</v>
      </c>
      <c r="H378" s="5">
        <v>63.2</v>
      </c>
      <c r="I378" s="3" t="s">
        <v>739</v>
      </c>
      <c r="J378" s="5">
        <f t="shared" si="4"/>
        <v>16.799999999999997</v>
      </c>
      <c r="K378" s="3" t="s">
        <v>741</v>
      </c>
      <c r="L378" s="3" t="s">
        <v>10</v>
      </c>
      <c r="M378" s="3" t="s">
        <v>137</v>
      </c>
      <c r="N378" s="7" t="s">
        <v>630</v>
      </c>
    </row>
    <row r="379" spans="1:14" x14ac:dyDescent="0.35">
      <c r="A379" s="4" t="s">
        <v>628</v>
      </c>
      <c r="B379" s="31" t="s">
        <v>637</v>
      </c>
      <c r="C379" s="3" t="s">
        <v>31</v>
      </c>
      <c r="D379" s="5">
        <v>38.104999999999997</v>
      </c>
      <c r="E379" s="5">
        <v>-121.69917</v>
      </c>
      <c r="F379" s="33">
        <v>1944</v>
      </c>
      <c r="G379" s="33">
        <f>F379+40</f>
        <v>1984</v>
      </c>
      <c r="H379" s="5">
        <v>25.9</v>
      </c>
      <c r="I379" s="3" t="s">
        <v>739</v>
      </c>
      <c r="J379" s="5">
        <f t="shared" si="4"/>
        <v>14.100000000000001</v>
      </c>
      <c r="K379" s="3" t="s">
        <v>741</v>
      </c>
      <c r="L379" s="3" t="s">
        <v>10</v>
      </c>
      <c r="M379" s="3" t="s">
        <v>137</v>
      </c>
      <c r="N379" s="7" t="s">
        <v>630</v>
      </c>
    </row>
    <row r="380" spans="1:14" x14ac:dyDescent="0.35">
      <c r="A380" s="4" t="s">
        <v>628</v>
      </c>
      <c r="B380" s="30" t="s">
        <v>638</v>
      </c>
      <c r="C380" s="3" t="s">
        <v>31</v>
      </c>
      <c r="D380" s="5">
        <v>38.073610000000002</v>
      </c>
      <c r="E380" s="5">
        <v>-121.855</v>
      </c>
      <c r="F380" s="33">
        <v>1915</v>
      </c>
      <c r="G380" s="33">
        <f>F380+109</f>
        <v>2024</v>
      </c>
      <c r="H380" s="5">
        <v>65.8</v>
      </c>
      <c r="I380" s="3" t="s">
        <v>739</v>
      </c>
      <c r="J380" s="5">
        <f t="shared" si="4"/>
        <v>43.2</v>
      </c>
      <c r="K380" s="3" t="s">
        <v>741</v>
      </c>
      <c r="L380" s="3" t="s">
        <v>10</v>
      </c>
      <c r="M380" s="3" t="s">
        <v>137</v>
      </c>
      <c r="N380" s="7" t="s">
        <v>630</v>
      </c>
    </row>
    <row r="381" spans="1:14" x14ac:dyDescent="0.35">
      <c r="A381" s="4" t="s">
        <v>628</v>
      </c>
      <c r="B381" s="30" t="s">
        <v>639</v>
      </c>
      <c r="C381" s="3" t="s">
        <v>31</v>
      </c>
      <c r="D381" s="5">
        <v>38.040559999999999</v>
      </c>
      <c r="E381" s="5">
        <v>-122.14556</v>
      </c>
      <c r="F381" s="33">
        <v>1944</v>
      </c>
      <c r="G381" s="33">
        <f>F381+80</f>
        <v>2024</v>
      </c>
      <c r="H381" s="5">
        <v>55.8</v>
      </c>
      <c r="I381" s="3" t="s">
        <v>739</v>
      </c>
      <c r="J381" s="5">
        <f t="shared" si="4"/>
        <v>24.200000000000003</v>
      </c>
      <c r="K381" s="3" t="s">
        <v>741</v>
      </c>
      <c r="L381" s="3" t="s">
        <v>10</v>
      </c>
      <c r="M381" s="3" t="s">
        <v>137</v>
      </c>
      <c r="N381" s="7" t="s">
        <v>630</v>
      </c>
    </row>
    <row r="382" spans="1:14" x14ac:dyDescent="0.35">
      <c r="A382" s="4" t="s">
        <v>628</v>
      </c>
      <c r="B382" s="30" t="s">
        <v>640</v>
      </c>
      <c r="C382" s="3" t="s">
        <v>31</v>
      </c>
      <c r="D382" s="5">
        <v>38.017780000000002</v>
      </c>
      <c r="E382" s="5">
        <v>-121.80306</v>
      </c>
      <c r="F382" s="33">
        <v>1934</v>
      </c>
      <c r="G382" s="33">
        <f>F382+90</f>
        <v>2024</v>
      </c>
      <c r="H382" s="5">
        <v>74.599999999999994</v>
      </c>
      <c r="I382" s="3" t="s">
        <v>739</v>
      </c>
      <c r="J382" s="5">
        <f t="shared" si="4"/>
        <v>15.400000000000006</v>
      </c>
      <c r="K382" s="3" t="s">
        <v>741</v>
      </c>
      <c r="L382" s="3" t="s">
        <v>10</v>
      </c>
      <c r="M382" s="3" t="s">
        <v>137</v>
      </c>
      <c r="N382" s="7" t="s">
        <v>630</v>
      </c>
    </row>
    <row r="383" spans="1:14" x14ac:dyDescent="0.35">
      <c r="A383" s="4" t="s">
        <v>628</v>
      </c>
      <c r="B383" s="30" t="s">
        <v>641</v>
      </c>
      <c r="C383" s="3" t="s">
        <v>31</v>
      </c>
      <c r="D383" s="5">
        <v>38.10333</v>
      </c>
      <c r="E383" s="5">
        <v>-121.59139</v>
      </c>
      <c r="F383" s="33">
        <v>1957</v>
      </c>
      <c r="G383" s="33">
        <f>F383+64</f>
        <v>2021</v>
      </c>
      <c r="H383" s="5">
        <v>56.3</v>
      </c>
      <c r="I383" s="3" t="s">
        <v>739</v>
      </c>
      <c r="J383" s="5">
        <f t="shared" si="4"/>
        <v>7.7000000000000028</v>
      </c>
      <c r="K383" s="3" t="s">
        <v>741</v>
      </c>
      <c r="L383" s="3" t="s">
        <v>10</v>
      </c>
      <c r="M383" s="3" t="s">
        <v>137</v>
      </c>
      <c r="N383" s="7" t="s">
        <v>630</v>
      </c>
    </row>
    <row r="384" spans="1:14" x14ac:dyDescent="0.35">
      <c r="A384" s="4" t="s">
        <v>628</v>
      </c>
      <c r="B384" s="30" t="s">
        <v>642</v>
      </c>
      <c r="C384" s="3" t="s">
        <v>31</v>
      </c>
      <c r="D384" s="5">
        <v>38.090000000000003</v>
      </c>
      <c r="E384" s="5">
        <v>-121.68694000000001</v>
      </c>
      <c r="F384" s="33">
        <v>1944</v>
      </c>
      <c r="G384" s="33">
        <f>F384+80</f>
        <v>2024</v>
      </c>
      <c r="H384" s="5">
        <v>67</v>
      </c>
      <c r="I384" s="3" t="s">
        <v>739</v>
      </c>
      <c r="J384" s="5">
        <f t="shared" si="4"/>
        <v>13</v>
      </c>
      <c r="K384" s="3" t="s">
        <v>741</v>
      </c>
      <c r="L384" s="3" t="s">
        <v>10</v>
      </c>
      <c r="M384" s="3" t="s">
        <v>137</v>
      </c>
      <c r="N384" s="7" t="s">
        <v>630</v>
      </c>
    </row>
    <row r="385" spans="1:14" ht="15" thickBot="1" x14ac:dyDescent="0.4">
      <c r="A385" s="4" t="s">
        <v>628</v>
      </c>
      <c r="B385" s="34" t="s">
        <v>643</v>
      </c>
      <c r="C385" s="3" t="s">
        <v>31</v>
      </c>
      <c r="D385" s="5">
        <v>38.050229999999999</v>
      </c>
      <c r="E385" s="5">
        <v>-121.49687</v>
      </c>
      <c r="F385" s="33">
        <v>1928</v>
      </c>
      <c r="G385" s="33">
        <f>F385+96</f>
        <v>2024</v>
      </c>
      <c r="H385" s="5">
        <v>78.8</v>
      </c>
      <c r="I385" s="3" t="s">
        <v>739</v>
      </c>
      <c r="J385" s="5">
        <f t="shared" si="4"/>
        <v>17.200000000000003</v>
      </c>
      <c r="K385" s="3" t="s">
        <v>741</v>
      </c>
      <c r="L385" s="3" t="s">
        <v>10</v>
      </c>
      <c r="M385" s="3" t="s">
        <v>137</v>
      </c>
      <c r="N385" s="7" t="s">
        <v>630</v>
      </c>
    </row>
    <row r="386" spans="1:14" x14ac:dyDescent="0.35">
      <c r="A386" s="4" t="s">
        <v>628</v>
      </c>
      <c r="B386" s="30" t="s">
        <v>644</v>
      </c>
      <c r="C386" s="3" t="s">
        <v>31</v>
      </c>
      <c r="D386" s="5">
        <v>38.001719999999999</v>
      </c>
      <c r="E386" s="5">
        <v>-121.52381</v>
      </c>
      <c r="F386" s="33">
        <v>1957</v>
      </c>
      <c r="G386" s="33">
        <f>F386+67</f>
        <v>2024</v>
      </c>
      <c r="H386" s="5">
        <v>59.2</v>
      </c>
      <c r="I386" s="3" t="s">
        <v>739</v>
      </c>
      <c r="J386" s="5">
        <f t="shared" si="4"/>
        <v>7.7999999999999972</v>
      </c>
      <c r="K386" s="3" t="s">
        <v>741</v>
      </c>
      <c r="L386" s="3" t="s">
        <v>10</v>
      </c>
      <c r="M386" s="3" t="s">
        <v>137</v>
      </c>
      <c r="N386" s="7" t="s">
        <v>630</v>
      </c>
    </row>
    <row r="387" spans="1:14" x14ac:dyDescent="0.35">
      <c r="A387" s="4" t="s">
        <v>628</v>
      </c>
      <c r="B387" s="30" t="s">
        <v>645</v>
      </c>
      <c r="C387" s="3" t="s">
        <v>31</v>
      </c>
      <c r="D387" s="5">
        <v>37.997219999999999</v>
      </c>
      <c r="E387" s="5">
        <v>-121.41943999999999</v>
      </c>
      <c r="F387" s="33">
        <v>1939</v>
      </c>
      <c r="G387" s="33">
        <f>F387+85</f>
        <v>2024</v>
      </c>
      <c r="H387" s="5">
        <v>70.599999999999994</v>
      </c>
      <c r="I387" s="3" t="s">
        <v>739</v>
      </c>
      <c r="J387" s="5">
        <f t="shared" si="4"/>
        <v>14.400000000000006</v>
      </c>
      <c r="K387" s="3" t="s">
        <v>741</v>
      </c>
      <c r="L387" s="3" t="s">
        <v>10</v>
      </c>
      <c r="M387" s="3" t="s">
        <v>137</v>
      </c>
      <c r="N387" s="7" t="s">
        <v>630</v>
      </c>
    </row>
    <row r="388" spans="1:14" x14ac:dyDescent="0.35">
      <c r="A388" s="4" t="s">
        <v>628</v>
      </c>
      <c r="B388" s="30" t="s">
        <v>646</v>
      </c>
      <c r="C388" s="3" t="s">
        <v>31</v>
      </c>
      <c r="D388" s="5">
        <v>37.990279999999998</v>
      </c>
      <c r="E388" s="5">
        <v>-121.58028</v>
      </c>
      <c r="F388" s="33">
        <v>1945</v>
      </c>
      <c r="G388" s="33">
        <f>F388+79</f>
        <v>2024</v>
      </c>
      <c r="H388" s="5">
        <v>55.5</v>
      </c>
      <c r="I388" s="3" t="s">
        <v>739</v>
      </c>
      <c r="J388" s="5">
        <f t="shared" si="4"/>
        <v>23.5</v>
      </c>
      <c r="K388" s="3" t="s">
        <v>741</v>
      </c>
      <c r="L388" s="3" t="s">
        <v>10</v>
      </c>
      <c r="M388" s="3" t="s">
        <v>137</v>
      </c>
      <c r="N388" s="7" t="s">
        <v>630</v>
      </c>
    </row>
    <row r="389" spans="1:14" x14ac:dyDescent="0.35">
      <c r="A389" s="4" t="s">
        <v>628</v>
      </c>
      <c r="B389" s="30" t="s">
        <v>647</v>
      </c>
      <c r="C389" s="3" t="s">
        <v>31</v>
      </c>
      <c r="D389" s="5">
        <v>37.962710000000001</v>
      </c>
      <c r="E389" s="5">
        <v>-121.36556</v>
      </c>
      <c r="F389" s="33">
        <v>1959</v>
      </c>
      <c r="G389" s="33">
        <f>F389+65</f>
        <v>2024</v>
      </c>
      <c r="H389" s="5">
        <v>61</v>
      </c>
      <c r="I389" s="3" t="s">
        <v>739</v>
      </c>
      <c r="J389" s="5">
        <f t="shared" si="4"/>
        <v>4</v>
      </c>
      <c r="K389" s="3" t="s">
        <v>741</v>
      </c>
      <c r="L389" s="3" t="s">
        <v>10</v>
      </c>
      <c r="M389" s="3" t="s">
        <v>137</v>
      </c>
      <c r="N389" s="7" t="s">
        <v>630</v>
      </c>
    </row>
    <row r="390" spans="1:14" x14ac:dyDescent="0.35">
      <c r="A390" s="4" t="s">
        <v>628</v>
      </c>
      <c r="B390" s="30" t="s">
        <v>648</v>
      </c>
      <c r="C390" s="3" t="s">
        <v>31</v>
      </c>
      <c r="D390" s="5">
        <v>37.890830000000001</v>
      </c>
      <c r="E390" s="5">
        <v>-121.48833</v>
      </c>
      <c r="F390" s="33">
        <v>1944</v>
      </c>
      <c r="G390" s="33">
        <f>F390+80</f>
        <v>2024</v>
      </c>
      <c r="H390" s="5">
        <v>69.400000000000006</v>
      </c>
      <c r="I390" s="3" t="s">
        <v>739</v>
      </c>
      <c r="J390" s="5">
        <f t="shared" si="4"/>
        <v>10.599999999999994</v>
      </c>
      <c r="K390" s="3" t="s">
        <v>741</v>
      </c>
      <c r="L390" s="3" t="s">
        <v>10</v>
      </c>
      <c r="M390" s="3" t="s">
        <v>137</v>
      </c>
      <c r="N390" s="7" t="s">
        <v>630</v>
      </c>
    </row>
    <row r="391" spans="1:14" x14ac:dyDescent="0.35">
      <c r="A391" s="4" t="s">
        <v>628</v>
      </c>
      <c r="B391" s="30" t="s">
        <v>649</v>
      </c>
      <c r="C391" s="3" t="s">
        <v>31</v>
      </c>
      <c r="D391" s="5">
        <v>37.864629999999998</v>
      </c>
      <c r="E391" s="5">
        <v>-121.32308</v>
      </c>
      <c r="F391" s="33">
        <v>1958</v>
      </c>
      <c r="G391" s="33">
        <f>F391+66</f>
        <v>2024</v>
      </c>
      <c r="H391" s="5">
        <v>59</v>
      </c>
      <c r="I391" s="3" t="s">
        <v>739</v>
      </c>
      <c r="J391" s="5">
        <f t="shared" si="4"/>
        <v>7</v>
      </c>
      <c r="K391" s="3" t="s">
        <v>741</v>
      </c>
      <c r="L391" s="3" t="s">
        <v>10</v>
      </c>
      <c r="M391" s="3" t="s">
        <v>137</v>
      </c>
      <c r="N391" s="7" t="s">
        <v>630</v>
      </c>
    </row>
    <row r="392" spans="1:14" x14ac:dyDescent="0.35">
      <c r="A392" s="4" t="s">
        <v>628</v>
      </c>
      <c r="B392" s="30" t="s">
        <v>650</v>
      </c>
      <c r="C392" s="3" t="s">
        <v>31</v>
      </c>
      <c r="D392" s="5">
        <v>37.835279999999997</v>
      </c>
      <c r="E392" s="5">
        <v>-121.38361</v>
      </c>
      <c r="F392" s="33">
        <v>1958</v>
      </c>
      <c r="G392" s="33">
        <f>F392+66</f>
        <v>2024</v>
      </c>
      <c r="H392" s="5">
        <v>60</v>
      </c>
      <c r="I392" s="3" t="s">
        <v>739</v>
      </c>
      <c r="J392" s="5">
        <f t="shared" si="4"/>
        <v>6</v>
      </c>
      <c r="K392" s="3" t="s">
        <v>741</v>
      </c>
      <c r="L392" s="3" t="s">
        <v>10</v>
      </c>
      <c r="M392" s="3" t="s">
        <v>137</v>
      </c>
      <c r="N392" s="7" t="s">
        <v>630</v>
      </c>
    </row>
    <row r="393" spans="1:14" x14ac:dyDescent="0.35">
      <c r="A393" s="4" t="s">
        <v>628</v>
      </c>
      <c r="B393" s="30" t="s">
        <v>651</v>
      </c>
      <c r="C393" s="3" t="s">
        <v>31</v>
      </c>
      <c r="D393" s="5">
        <v>37.828690000000002</v>
      </c>
      <c r="E393" s="5">
        <v>-121.55301</v>
      </c>
      <c r="F393" s="33">
        <v>1957</v>
      </c>
      <c r="G393" s="33">
        <f>F393+67</f>
        <v>2024</v>
      </c>
      <c r="H393" s="5">
        <v>61</v>
      </c>
      <c r="I393" s="3" t="s">
        <v>739</v>
      </c>
      <c r="J393" s="5">
        <f t="shared" si="4"/>
        <v>6</v>
      </c>
      <c r="K393" s="3" t="s">
        <v>741</v>
      </c>
      <c r="L393" s="3" t="s">
        <v>10</v>
      </c>
      <c r="M393" s="3" t="s">
        <v>137</v>
      </c>
      <c r="N393" s="7" t="s">
        <v>630</v>
      </c>
    </row>
    <row r="394" spans="1:14" x14ac:dyDescent="0.35">
      <c r="A394" s="4" t="s">
        <v>628</v>
      </c>
      <c r="B394" s="30" t="s">
        <v>652</v>
      </c>
      <c r="C394" s="3" t="s">
        <v>31</v>
      </c>
      <c r="D394" s="5">
        <v>37.820140000000002</v>
      </c>
      <c r="E394" s="5">
        <v>-121.44986</v>
      </c>
      <c r="F394" s="33">
        <v>1958</v>
      </c>
      <c r="G394" s="33">
        <f>F394+66</f>
        <v>2024</v>
      </c>
      <c r="H394" s="5">
        <v>52.8</v>
      </c>
      <c r="I394" s="3" t="s">
        <v>739</v>
      </c>
      <c r="J394" s="5">
        <f t="shared" si="4"/>
        <v>13.200000000000003</v>
      </c>
      <c r="K394" s="3" t="s">
        <v>741</v>
      </c>
      <c r="L394" s="3" t="s">
        <v>10</v>
      </c>
      <c r="M394" s="3" t="s">
        <v>137</v>
      </c>
      <c r="N394" s="7" t="s">
        <v>630</v>
      </c>
    </row>
    <row r="395" spans="1:14" x14ac:dyDescent="0.35">
      <c r="A395" s="4" t="s">
        <v>628</v>
      </c>
      <c r="B395" s="30" t="s">
        <v>653</v>
      </c>
      <c r="C395" s="3" t="s">
        <v>31</v>
      </c>
      <c r="D395" s="5">
        <v>37.804810000000003</v>
      </c>
      <c r="E395" s="5">
        <v>-121.44956000000001</v>
      </c>
      <c r="F395" s="33">
        <v>1957</v>
      </c>
      <c r="G395" s="33">
        <f>F395+67</f>
        <v>2024</v>
      </c>
      <c r="H395" s="5">
        <v>61.5</v>
      </c>
      <c r="I395" s="3" t="s">
        <v>739</v>
      </c>
      <c r="J395" s="5">
        <f t="shared" si="4"/>
        <v>5.5</v>
      </c>
      <c r="K395" s="3" t="s">
        <v>741</v>
      </c>
      <c r="L395" s="3" t="s">
        <v>10</v>
      </c>
      <c r="M395" s="3" t="s">
        <v>137</v>
      </c>
      <c r="N395" s="7" t="s">
        <v>630</v>
      </c>
    </row>
    <row r="396" spans="1:14" x14ac:dyDescent="0.35">
      <c r="A396" s="4" t="s">
        <v>628</v>
      </c>
      <c r="B396" s="30" t="s">
        <v>654</v>
      </c>
      <c r="C396" s="3" t="s">
        <v>31</v>
      </c>
      <c r="D396" s="5">
        <v>37.786140000000003</v>
      </c>
      <c r="E396" s="5">
        <v>-121.30649</v>
      </c>
      <c r="F396" s="33">
        <v>1920</v>
      </c>
      <c r="G396" s="33">
        <f>F396+104</f>
        <v>2024</v>
      </c>
      <c r="H396" s="5">
        <v>45.8</v>
      </c>
      <c r="I396" s="3" t="s">
        <v>739</v>
      </c>
      <c r="J396" s="5">
        <f t="shared" si="4"/>
        <v>58.2</v>
      </c>
      <c r="K396" s="3" t="s">
        <v>741</v>
      </c>
      <c r="L396" s="3" t="s">
        <v>10</v>
      </c>
      <c r="M396" s="3" t="s">
        <v>137</v>
      </c>
      <c r="N396" s="7" t="s">
        <v>630</v>
      </c>
    </row>
    <row r="397" spans="1:14" x14ac:dyDescent="0.35">
      <c r="A397" s="4" t="s">
        <v>628</v>
      </c>
      <c r="B397" s="35" t="s">
        <v>655</v>
      </c>
      <c r="C397" s="3" t="s">
        <v>31</v>
      </c>
      <c r="D397" s="36">
        <v>38.608049999999999</v>
      </c>
      <c r="E397" s="36">
        <v>-121.55929999999999</v>
      </c>
      <c r="F397" s="33" t="s">
        <v>16</v>
      </c>
      <c r="G397" s="33" t="s">
        <v>16</v>
      </c>
      <c r="H397" s="36">
        <v>54</v>
      </c>
      <c r="I397" s="33" t="s">
        <v>16</v>
      </c>
      <c r="J397" s="33" t="s">
        <v>16</v>
      </c>
      <c r="K397" s="3" t="s">
        <v>741</v>
      </c>
      <c r="L397" s="3" t="s">
        <v>10</v>
      </c>
      <c r="M397" s="3" t="s">
        <v>137</v>
      </c>
      <c r="N397" s="7" t="s">
        <v>630</v>
      </c>
    </row>
    <row r="398" spans="1:14" x14ac:dyDescent="0.35">
      <c r="A398" s="4" t="s">
        <v>628</v>
      </c>
      <c r="B398" s="35" t="s">
        <v>656</v>
      </c>
      <c r="C398" s="3" t="s">
        <v>31</v>
      </c>
      <c r="D398" s="36">
        <v>38.600099999999998</v>
      </c>
      <c r="E398" s="36">
        <v>-121.53954</v>
      </c>
      <c r="F398" s="33" t="s">
        <v>16</v>
      </c>
      <c r="G398" s="33" t="s">
        <v>16</v>
      </c>
      <c r="H398" s="36">
        <v>9</v>
      </c>
      <c r="I398" s="33" t="s">
        <v>16</v>
      </c>
      <c r="J398" s="33" t="s">
        <v>16</v>
      </c>
      <c r="K398" s="3" t="s">
        <v>741</v>
      </c>
      <c r="L398" s="3" t="s">
        <v>10</v>
      </c>
      <c r="M398" s="3" t="s">
        <v>137</v>
      </c>
      <c r="N398" s="7" t="s">
        <v>630</v>
      </c>
    </row>
    <row r="399" spans="1:14" x14ac:dyDescent="0.35">
      <c r="A399" s="4" t="s">
        <v>628</v>
      </c>
      <c r="B399" s="35" t="s">
        <v>657</v>
      </c>
      <c r="C399" s="3" t="s">
        <v>31</v>
      </c>
      <c r="D399" s="36">
        <v>38.474780000000003</v>
      </c>
      <c r="E399" s="36">
        <v>-121.58823</v>
      </c>
      <c r="F399" s="33" t="s">
        <v>16</v>
      </c>
      <c r="G399" s="33" t="s">
        <v>16</v>
      </c>
      <c r="H399" s="36">
        <v>65</v>
      </c>
      <c r="I399" s="33" t="s">
        <v>16</v>
      </c>
      <c r="J399" s="33" t="s">
        <v>16</v>
      </c>
      <c r="K399" s="3" t="s">
        <v>741</v>
      </c>
      <c r="L399" s="3" t="s">
        <v>10</v>
      </c>
      <c r="M399" s="3" t="s">
        <v>137</v>
      </c>
      <c r="N399" s="7" t="s">
        <v>630</v>
      </c>
    </row>
    <row r="400" spans="1:14" x14ac:dyDescent="0.35">
      <c r="A400" s="4" t="s">
        <v>628</v>
      </c>
      <c r="B400" s="35" t="s">
        <v>658</v>
      </c>
      <c r="C400" s="3" t="s">
        <v>31</v>
      </c>
      <c r="D400" s="36">
        <v>38.456110000000002</v>
      </c>
      <c r="E400" s="36">
        <v>-121.5003</v>
      </c>
      <c r="F400" s="33" t="s">
        <v>16</v>
      </c>
      <c r="G400" s="33" t="s">
        <v>16</v>
      </c>
      <c r="H400" s="36">
        <v>30</v>
      </c>
      <c r="I400" s="33" t="s">
        <v>16</v>
      </c>
      <c r="J400" s="33" t="s">
        <v>16</v>
      </c>
      <c r="K400" s="3" t="s">
        <v>741</v>
      </c>
      <c r="L400" s="3" t="s">
        <v>10</v>
      </c>
      <c r="M400" s="3" t="s">
        <v>137</v>
      </c>
      <c r="N400" s="7" t="s">
        <v>630</v>
      </c>
    </row>
    <row r="401" spans="1:14" x14ac:dyDescent="0.35">
      <c r="A401" s="4" t="s">
        <v>628</v>
      </c>
      <c r="B401" s="35" t="s">
        <v>659</v>
      </c>
      <c r="C401" s="3" t="s">
        <v>31</v>
      </c>
      <c r="D401" s="36">
        <v>38.417839999999998</v>
      </c>
      <c r="E401" s="36">
        <v>-121.52506</v>
      </c>
      <c r="F401" s="33" t="s">
        <v>16</v>
      </c>
      <c r="G401" s="33" t="s">
        <v>16</v>
      </c>
      <c r="H401" s="36">
        <v>29</v>
      </c>
      <c r="I401" s="33" t="s">
        <v>16</v>
      </c>
      <c r="J401" s="33" t="s">
        <v>16</v>
      </c>
      <c r="K401" s="3" t="s">
        <v>741</v>
      </c>
      <c r="L401" s="3" t="s">
        <v>10</v>
      </c>
      <c r="M401" s="3" t="s">
        <v>137</v>
      </c>
      <c r="N401" s="7" t="s">
        <v>630</v>
      </c>
    </row>
    <row r="402" spans="1:14" x14ac:dyDescent="0.35">
      <c r="A402" s="4" t="s">
        <v>628</v>
      </c>
      <c r="B402" s="35" t="s">
        <v>660</v>
      </c>
      <c r="C402" s="3" t="s">
        <v>31</v>
      </c>
      <c r="D402" s="36">
        <v>38.36797</v>
      </c>
      <c r="E402" s="36">
        <v>-121.52134</v>
      </c>
      <c r="F402" s="33" t="s">
        <v>16</v>
      </c>
      <c r="G402" s="33" t="s">
        <v>16</v>
      </c>
      <c r="H402" s="36">
        <v>12</v>
      </c>
      <c r="I402" s="33" t="s">
        <v>16</v>
      </c>
      <c r="J402" s="33" t="s">
        <v>16</v>
      </c>
      <c r="K402" s="3" t="s">
        <v>741</v>
      </c>
      <c r="L402" s="3" t="s">
        <v>10</v>
      </c>
      <c r="M402" s="3" t="s">
        <v>137</v>
      </c>
      <c r="N402" s="7" t="s">
        <v>630</v>
      </c>
    </row>
    <row r="403" spans="1:14" x14ac:dyDescent="0.35">
      <c r="A403" s="4" t="s">
        <v>628</v>
      </c>
      <c r="B403" s="35" t="s">
        <v>661</v>
      </c>
      <c r="C403" s="3" t="s">
        <v>31</v>
      </c>
      <c r="D403" s="36">
        <v>38.329279999999997</v>
      </c>
      <c r="E403" s="36">
        <v>-121.69398</v>
      </c>
      <c r="F403" s="33" t="s">
        <v>16</v>
      </c>
      <c r="G403" s="33" t="s">
        <v>16</v>
      </c>
      <c r="H403" s="36">
        <v>36</v>
      </c>
      <c r="I403" s="33" t="s">
        <v>16</v>
      </c>
      <c r="J403" s="33" t="s">
        <v>16</v>
      </c>
      <c r="K403" s="3" t="s">
        <v>741</v>
      </c>
      <c r="L403" s="3" t="s">
        <v>10</v>
      </c>
      <c r="M403" s="3" t="s">
        <v>137</v>
      </c>
      <c r="N403" s="7" t="s">
        <v>630</v>
      </c>
    </row>
    <row r="404" spans="1:14" x14ac:dyDescent="0.35">
      <c r="A404" s="4" t="s">
        <v>628</v>
      </c>
      <c r="B404" s="35" t="s">
        <v>662</v>
      </c>
      <c r="C404" s="3" t="s">
        <v>31</v>
      </c>
      <c r="D404" s="36">
        <v>38.290120000000002</v>
      </c>
      <c r="E404" s="36">
        <v>-121.64478</v>
      </c>
      <c r="F404" s="33" t="s">
        <v>16</v>
      </c>
      <c r="G404" s="33" t="s">
        <v>16</v>
      </c>
      <c r="H404" s="36">
        <v>13</v>
      </c>
      <c r="I404" s="33" t="s">
        <v>16</v>
      </c>
      <c r="J404" s="33" t="s">
        <v>16</v>
      </c>
      <c r="K404" s="3" t="s">
        <v>741</v>
      </c>
      <c r="L404" s="3" t="s">
        <v>10</v>
      </c>
      <c r="M404" s="3" t="s">
        <v>137</v>
      </c>
      <c r="N404" s="7" t="s">
        <v>630</v>
      </c>
    </row>
    <row r="405" spans="1:14" x14ac:dyDescent="0.35">
      <c r="A405" s="4" t="s">
        <v>628</v>
      </c>
      <c r="B405" s="35" t="s">
        <v>663</v>
      </c>
      <c r="C405" s="3" t="s">
        <v>31</v>
      </c>
      <c r="D405" s="36">
        <v>38.284999999999997</v>
      </c>
      <c r="E405" s="36">
        <v>-121.587</v>
      </c>
      <c r="F405" s="33" t="s">
        <v>16</v>
      </c>
      <c r="G405" s="33" t="s">
        <v>16</v>
      </c>
      <c r="H405" s="36">
        <v>2</v>
      </c>
      <c r="I405" s="33" t="s">
        <v>16</v>
      </c>
      <c r="J405" s="33" t="s">
        <v>16</v>
      </c>
      <c r="K405" s="3" t="s">
        <v>741</v>
      </c>
      <c r="L405" s="3" t="s">
        <v>10</v>
      </c>
      <c r="M405" s="3" t="s">
        <v>137</v>
      </c>
      <c r="N405" s="7" t="s">
        <v>630</v>
      </c>
    </row>
    <row r="406" spans="1:14" x14ac:dyDescent="0.35">
      <c r="A406" s="4" t="s">
        <v>628</v>
      </c>
      <c r="B406" s="35" t="s">
        <v>664</v>
      </c>
      <c r="C406" s="3" t="s">
        <v>31</v>
      </c>
      <c r="D406" s="36">
        <v>38.244720000000001</v>
      </c>
      <c r="E406" s="36">
        <v>-121.50528</v>
      </c>
      <c r="F406" s="33" t="s">
        <v>16</v>
      </c>
      <c r="G406" s="33" t="s">
        <v>16</v>
      </c>
      <c r="H406" s="36">
        <v>10</v>
      </c>
      <c r="I406" s="33" t="s">
        <v>16</v>
      </c>
      <c r="J406" s="33" t="s">
        <v>16</v>
      </c>
      <c r="K406" s="3" t="s">
        <v>741</v>
      </c>
      <c r="L406" s="3" t="s">
        <v>10</v>
      </c>
      <c r="M406" s="3" t="s">
        <v>137</v>
      </c>
      <c r="N406" s="7" t="s">
        <v>630</v>
      </c>
    </row>
    <row r="407" spans="1:14" x14ac:dyDescent="0.35">
      <c r="A407" s="4" t="s">
        <v>628</v>
      </c>
      <c r="B407" s="35" t="s">
        <v>665</v>
      </c>
      <c r="C407" s="3" t="s">
        <v>31</v>
      </c>
      <c r="D407" s="36">
        <v>38.228299999999997</v>
      </c>
      <c r="E407" s="36">
        <v>-121.6722</v>
      </c>
      <c r="F407" s="33" t="s">
        <v>16</v>
      </c>
      <c r="G407" s="33" t="s">
        <v>16</v>
      </c>
      <c r="H407" s="36">
        <v>4</v>
      </c>
      <c r="I407" s="33" t="s">
        <v>16</v>
      </c>
      <c r="J407" s="33" t="s">
        <v>16</v>
      </c>
      <c r="K407" s="3" t="s">
        <v>741</v>
      </c>
      <c r="L407" s="3" t="s">
        <v>10</v>
      </c>
      <c r="M407" s="3" t="s">
        <v>137</v>
      </c>
      <c r="N407" s="7" t="s">
        <v>630</v>
      </c>
    </row>
    <row r="408" spans="1:14" x14ac:dyDescent="0.35">
      <c r="A408" s="4" t="s">
        <v>628</v>
      </c>
      <c r="B408" s="35" t="s">
        <v>666</v>
      </c>
      <c r="C408" s="3" t="s">
        <v>31</v>
      </c>
      <c r="D408" s="36">
        <v>38.186259999999997</v>
      </c>
      <c r="E408" s="36">
        <v>-121.971</v>
      </c>
      <c r="F408" s="33" t="s">
        <v>16</v>
      </c>
      <c r="G408" s="33" t="s">
        <v>16</v>
      </c>
      <c r="H408" s="36">
        <v>1</v>
      </c>
      <c r="I408" s="33" t="s">
        <v>16</v>
      </c>
      <c r="J408" s="33" t="s">
        <v>16</v>
      </c>
      <c r="K408" s="3" t="s">
        <v>741</v>
      </c>
      <c r="L408" s="3" t="s">
        <v>10</v>
      </c>
      <c r="M408" s="3" t="s">
        <v>137</v>
      </c>
      <c r="N408" s="7" t="s">
        <v>630</v>
      </c>
    </row>
    <row r="409" spans="1:14" x14ac:dyDescent="0.35">
      <c r="A409" s="4" t="s">
        <v>628</v>
      </c>
      <c r="B409" s="35" t="s">
        <v>667</v>
      </c>
      <c r="C409" s="3" t="s">
        <v>31</v>
      </c>
      <c r="D409" s="36">
        <v>38.167140000000003</v>
      </c>
      <c r="E409" s="36">
        <v>-121.93389000000001</v>
      </c>
      <c r="F409" s="33" t="s">
        <v>16</v>
      </c>
      <c r="G409" s="33" t="s">
        <v>16</v>
      </c>
      <c r="H409" s="36">
        <v>1</v>
      </c>
      <c r="I409" s="33" t="s">
        <v>16</v>
      </c>
      <c r="J409" s="33" t="s">
        <v>16</v>
      </c>
      <c r="K409" s="3" t="s">
        <v>741</v>
      </c>
      <c r="L409" s="3" t="s">
        <v>10</v>
      </c>
      <c r="M409" s="3" t="s">
        <v>137</v>
      </c>
      <c r="N409" s="7" t="s">
        <v>630</v>
      </c>
    </row>
    <row r="410" spans="1:14" x14ac:dyDescent="0.35">
      <c r="A410" s="4" t="s">
        <v>628</v>
      </c>
      <c r="B410" s="35" t="s">
        <v>668</v>
      </c>
      <c r="C410" s="3" t="s">
        <v>31</v>
      </c>
      <c r="D410" s="36">
        <v>38.163330000000002</v>
      </c>
      <c r="E410" s="36">
        <v>-121.60833</v>
      </c>
      <c r="F410" s="33" t="s">
        <v>16</v>
      </c>
      <c r="G410" s="33" t="s">
        <v>16</v>
      </c>
      <c r="H410" s="36">
        <v>19</v>
      </c>
      <c r="I410" s="33" t="s">
        <v>16</v>
      </c>
      <c r="J410" s="33" t="s">
        <v>16</v>
      </c>
      <c r="K410" s="3" t="s">
        <v>741</v>
      </c>
      <c r="L410" s="3" t="s">
        <v>10</v>
      </c>
      <c r="M410" s="3" t="s">
        <v>137</v>
      </c>
      <c r="N410" s="7" t="s">
        <v>630</v>
      </c>
    </row>
    <row r="411" spans="1:14" x14ac:dyDescent="0.35">
      <c r="A411" s="4" t="s">
        <v>628</v>
      </c>
      <c r="B411" s="35" t="s">
        <v>669</v>
      </c>
      <c r="C411" s="3" t="s">
        <v>31</v>
      </c>
      <c r="D411" s="36">
        <v>38.110869999999998</v>
      </c>
      <c r="E411" s="36">
        <v>-121.9718</v>
      </c>
      <c r="F411" s="33" t="s">
        <v>16</v>
      </c>
      <c r="G411" s="33" t="s">
        <v>16</v>
      </c>
      <c r="H411" s="36">
        <v>5</v>
      </c>
      <c r="I411" s="33" t="s">
        <v>16</v>
      </c>
      <c r="J411" s="33" t="s">
        <v>16</v>
      </c>
      <c r="K411" s="3" t="s">
        <v>741</v>
      </c>
      <c r="L411" s="3" t="s">
        <v>10</v>
      </c>
      <c r="M411" s="3" t="s">
        <v>137</v>
      </c>
      <c r="N411" s="7" t="s">
        <v>630</v>
      </c>
    </row>
    <row r="412" spans="1:14" x14ac:dyDescent="0.35">
      <c r="A412" s="4" t="s">
        <v>628</v>
      </c>
      <c r="B412" s="35" t="s">
        <v>670</v>
      </c>
      <c r="C412" s="3" t="s">
        <v>31</v>
      </c>
      <c r="D412" s="36">
        <v>38.108530000000002</v>
      </c>
      <c r="E412" s="36">
        <v>-122.05598000000001</v>
      </c>
      <c r="F412" s="33" t="s">
        <v>16</v>
      </c>
      <c r="G412" s="33" t="s">
        <v>16</v>
      </c>
      <c r="H412" s="36">
        <v>4</v>
      </c>
      <c r="I412" s="33" t="s">
        <v>16</v>
      </c>
      <c r="J412" s="33" t="s">
        <v>16</v>
      </c>
      <c r="K412" s="3" t="s">
        <v>741</v>
      </c>
      <c r="L412" s="3" t="s">
        <v>10</v>
      </c>
      <c r="M412" s="3" t="s">
        <v>137</v>
      </c>
      <c r="N412" s="7" t="s">
        <v>630</v>
      </c>
    </row>
    <row r="413" spans="1:14" x14ac:dyDescent="0.35">
      <c r="A413" s="4" t="s">
        <v>628</v>
      </c>
      <c r="B413" s="35" t="s">
        <v>671</v>
      </c>
      <c r="C413" s="3" t="s">
        <v>31</v>
      </c>
      <c r="D413" s="36">
        <v>38.09639</v>
      </c>
      <c r="E413" s="36">
        <v>-121.49611</v>
      </c>
      <c r="F413" s="33" t="s">
        <v>16</v>
      </c>
      <c r="G413" s="33" t="s">
        <v>16</v>
      </c>
      <c r="H413" s="36">
        <v>13</v>
      </c>
      <c r="I413" s="33" t="s">
        <v>16</v>
      </c>
      <c r="J413" s="33" t="s">
        <v>16</v>
      </c>
      <c r="K413" s="3" t="s">
        <v>741</v>
      </c>
      <c r="L413" s="3" t="s">
        <v>10</v>
      </c>
      <c r="M413" s="3" t="s">
        <v>137</v>
      </c>
      <c r="N413" s="7" t="s">
        <v>630</v>
      </c>
    </row>
    <row r="414" spans="1:14" x14ac:dyDescent="0.35">
      <c r="A414" s="4" t="s">
        <v>628</v>
      </c>
      <c r="B414" s="35" t="s">
        <v>672</v>
      </c>
      <c r="C414" s="3" t="s">
        <v>31</v>
      </c>
      <c r="D414" s="36">
        <v>38.07</v>
      </c>
      <c r="E414" s="36">
        <v>-122.25</v>
      </c>
      <c r="F414" s="33" t="s">
        <v>16</v>
      </c>
      <c r="G414" s="33" t="s">
        <v>16</v>
      </c>
      <c r="H414" s="36">
        <v>20</v>
      </c>
      <c r="I414" s="33" t="s">
        <v>16</v>
      </c>
      <c r="J414" s="33" t="s">
        <v>16</v>
      </c>
      <c r="K414" s="3" t="s">
        <v>741</v>
      </c>
      <c r="L414" s="3" t="s">
        <v>10</v>
      </c>
      <c r="M414" s="3" t="s">
        <v>137</v>
      </c>
      <c r="N414" s="7" t="s">
        <v>630</v>
      </c>
    </row>
    <row r="415" spans="1:14" x14ac:dyDescent="0.35">
      <c r="A415" s="4" t="s">
        <v>628</v>
      </c>
      <c r="B415" s="35" t="s">
        <v>673</v>
      </c>
      <c r="C415" s="3" t="s">
        <v>31</v>
      </c>
      <c r="D415" s="36">
        <v>38.056789999999999</v>
      </c>
      <c r="E415" s="36">
        <v>-121.99997</v>
      </c>
      <c r="F415" s="33" t="s">
        <v>16</v>
      </c>
      <c r="G415" s="33" t="s">
        <v>16</v>
      </c>
      <c r="H415" s="36">
        <v>1</v>
      </c>
      <c r="I415" s="33" t="s">
        <v>16</v>
      </c>
      <c r="J415" s="33" t="s">
        <v>16</v>
      </c>
      <c r="K415" s="3" t="s">
        <v>741</v>
      </c>
      <c r="L415" s="3" t="s">
        <v>10</v>
      </c>
      <c r="M415" s="3" t="s">
        <v>137</v>
      </c>
      <c r="N415" s="7" t="s">
        <v>630</v>
      </c>
    </row>
    <row r="416" spans="1:14" x14ac:dyDescent="0.35">
      <c r="A416" s="4" t="s">
        <v>628</v>
      </c>
      <c r="B416" s="35" t="s">
        <v>674</v>
      </c>
      <c r="C416" s="3" t="s">
        <v>31</v>
      </c>
      <c r="D416" s="36">
        <v>38.055799999999998</v>
      </c>
      <c r="E416" s="36">
        <v>-121.6669</v>
      </c>
      <c r="F416" s="33" t="s">
        <v>16</v>
      </c>
      <c r="G416" s="33" t="s">
        <v>16</v>
      </c>
      <c r="H416" s="36">
        <v>2</v>
      </c>
      <c r="I416" s="33" t="s">
        <v>16</v>
      </c>
      <c r="J416" s="33" t="s">
        <v>16</v>
      </c>
      <c r="K416" s="3" t="s">
        <v>741</v>
      </c>
      <c r="L416" s="3" t="s">
        <v>10</v>
      </c>
      <c r="M416" s="3" t="s">
        <v>137</v>
      </c>
      <c r="N416" s="7" t="s">
        <v>630</v>
      </c>
    </row>
    <row r="417" spans="1:14" x14ac:dyDescent="0.35">
      <c r="A417" s="4" t="s">
        <v>628</v>
      </c>
      <c r="B417" s="35" t="s">
        <v>675</v>
      </c>
      <c r="C417" s="3" t="s">
        <v>31</v>
      </c>
      <c r="D417" s="36">
        <v>38.042969999999997</v>
      </c>
      <c r="E417" s="36">
        <v>-121.89248000000001</v>
      </c>
      <c r="F417" s="33" t="s">
        <v>16</v>
      </c>
      <c r="G417" s="33" t="s">
        <v>16</v>
      </c>
      <c r="H417" s="36">
        <v>2</v>
      </c>
      <c r="I417" s="33" t="s">
        <v>16</v>
      </c>
      <c r="J417" s="33" t="s">
        <v>16</v>
      </c>
      <c r="K417" s="3" t="s">
        <v>741</v>
      </c>
      <c r="L417" s="3" t="s">
        <v>10</v>
      </c>
      <c r="M417" s="3" t="s">
        <v>137</v>
      </c>
      <c r="N417" s="7" t="s">
        <v>630</v>
      </c>
    </row>
    <row r="418" spans="1:14" x14ac:dyDescent="0.35">
      <c r="A418" s="4" t="s">
        <v>628</v>
      </c>
      <c r="B418" s="35" t="s">
        <v>676</v>
      </c>
      <c r="C418" s="3" t="s">
        <v>31</v>
      </c>
      <c r="D418" s="36">
        <v>38.042700000000004</v>
      </c>
      <c r="E418" s="36">
        <v>-121.92024000000001</v>
      </c>
      <c r="F418" s="33" t="s">
        <v>16</v>
      </c>
      <c r="G418" s="33" t="s">
        <v>16</v>
      </c>
      <c r="H418" s="36">
        <v>16</v>
      </c>
      <c r="I418" s="33" t="s">
        <v>16</v>
      </c>
      <c r="J418" s="33" t="s">
        <v>16</v>
      </c>
      <c r="K418" s="3" t="s">
        <v>741</v>
      </c>
      <c r="L418" s="3" t="s">
        <v>10</v>
      </c>
      <c r="M418" s="3" t="s">
        <v>137</v>
      </c>
      <c r="N418" s="7" t="s">
        <v>630</v>
      </c>
    </row>
    <row r="419" spans="1:14" x14ac:dyDescent="0.35">
      <c r="A419" s="4" t="s">
        <v>628</v>
      </c>
      <c r="B419" s="35" t="s">
        <v>677</v>
      </c>
      <c r="C419" s="3" t="s">
        <v>31</v>
      </c>
      <c r="D419" s="36">
        <v>38.041089999999997</v>
      </c>
      <c r="E419" s="36">
        <v>-121.63218999999999</v>
      </c>
      <c r="F419" s="33" t="s">
        <v>16</v>
      </c>
      <c r="G419" s="33" t="s">
        <v>16</v>
      </c>
      <c r="H419" s="36">
        <v>2</v>
      </c>
      <c r="I419" s="33" t="s">
        <v>16</v>
      </c>
      <c r="J419" s="33" t="s">
        <v>16</v>
      </c>
      <c r="K419" s="3" t="s">
        <v>741</v>
      </c>
      <c r="L419" s="3" t="s">
        <v>10</v>
      </c>
      <c r="M419" s="3" t="s">
        <v>137</v>
      </c>
      <c r="N419" s="7" t="s">
        <v>630</v>
      </c>
    </row>
    <row r="420" spans="1:14" x14ac:dyDescent="0.35">
      <c r="A420" s="4" t="s">
        <v>628</v>
      </c>
      <c r="B420" s="35" t="s">
        <v>678</v>
      </c>
      <c r="C420" s="3" t="s">
        <v>31</v>
      </c>
      <c r="D420" s="36">
        <v>38.006990000000002</v>
      </c>
      <c r="E420" s="36">
        <v>-121.58062</v>
      </c>
      <c r="F420" s="33" t="s">
        <v>16</v>
      </c>
      <c r="G420" s="33" t="s">
        <v>16</v>
      </c>
      <c r="H420" s="36">
        <v>9</v>
      </c>
      <c r="I420" s="33" t="s">
        <v>16</v>
      </c>
      <c r="J420" s="33" t="s">
        <v>16</v>
      </c>
      <c r="K420" s="3" t="s">
        <v>741</v>
      </c>
      <c r="L420" s="3" t="s">
        <v>10</v>
      </c>
      <c r="M420" s="3" t="s">
        <v>137</v>
      </c>
      <c r="N420" s="7" t="s">
        <v>630</v>
      </c>
    </row>
    <row r="421" spans="1:14" x14ac:dyDescent="0.35">
      <c r="A421" s="4" t="s">
        <v>628</v>
      </c>
      <c r="B421" s="35" t="s">
        <v>679</v>
      </c>
      <c r="C421" s="3" t="s">
        <v>31</v>
      </c>
      <c r="D421" s="36">
        <v>37.976309999999998</v>
      </c>
      <c r="E421" s="36">
        <v>-121.63760000000001</v>
      </c>
      <c r="F421" s="33" t="s">
        <v>16</v>
      </c>
      <c r="G421" s="33" t="s">
        <v>16</v>
      </c>
      <c r="H421" s="36">
        <v>16</v>
      </c>
      <c r="I421" s="33" t="s">
        <v>16</v>
      </c>
      <c r="J421" s="33" t="s">
        <v>16</v>
      </c>
      <c r="K421" s="3" t="s">
        <v>741</v>
      </c>
      <c r="L421" s="3" t="s">
        <v>10</v>
      </c>
      <c r="M421" s="3" t="s">
        <v>137</v>
      </c>
      <c r="N421" s="7" t="s">
        <v>630</v>
      </c>
    </row>
    <row r="422" spans="1:14" x14ac:dyDescent="0.35">
      <c r="A422" s="4" t="s">
        <v>628</v>
      </c>
      <c r="B422" s="35" t="s">
        <v>680</v>
      </c>
      <c r="C422" s="3" t="s">
        <v>31</v>
      </c>
      <c r="D422" s="36">
        <v>37.953749999999999</v>
      </c>
      <c r="E422" s="36">
        <v>-121.29557</v>
      </c>
      <c r="F422" s="33" t="s">
        <v>16</v>
      </c>
      <c r="G422" s="33" t="s">
        <v>16</v>
      </c>
      <c r="H422" s="36">
        <v>38</v>
      </c>
      <c r="I422" s="33" t="s">
        <v>16</v>
      </c>
      <c r="J422" s="33" t="s">
        <v>16</v>
      </c>
      <c r="K422" s="3" t="s">
        <v>741</v>
      </c>
      <c r="L422" s="3" t="s">
        <v>10</v>
      </c>
      <c r="M422" s="3" t="s">
        <v>137</v>
      </c>
      <c r="N422" s="7" t="s">
        <v>630</v>
      </c>
    </row>
    <row r="423" spans="1:14" x14ac:dyDescent="0.35">
      <c r="A423" s="4" t="s">
        <v>628</v>
      </c>
      <c r="B423" s="35" t="s">
        <v>681</v>
      </c>
      <c r="C423" s="3" t="s">
        <v>31</v>
      </c>
      <c r="D423" s="36">
        <v>37.91028</v>
      </c>
      <c r="E423" s="36">
        <v>-121.56083</v>
      </c>
      <c r="F423" s="33" t="s">
        <v>16</v>
      </c>
      <c r="G423" s="33" t="s">
        <v>16</v>
      </c>
      <c r="H423" s="36">
        <v>26</v>
      </c>
      <c r="I423" s="33" t="s">
        <v>16</v>
      </c>
      <c r="J423" s="33" t="s">
        <v>16</v>
      </c>
      <c r="K423" s="3" t="s">
        <v>741</v>
      </c>
      <c r="L423" s="3" t="s">
        <v>10</v>
      </c>
      <c r="M423" s="3" t="s">
        <v>137</v>
      </c>
      <c r="N423" s="7" t="s">
        <v>630</v>
      </c>
    </row>
    <row r="424" spans="1:14" x14ac:dyDescent="0.35">
      <c r="A424" s="4" t="s">
        <v>628</v>
      </c>
      <c r="B424" s="35" t="s">
        <v>682</v>
      </c>
      <c r="C424" s="3" t="s">
        <v>31</v>
      </c>
      <c r="D424" s="36">
        <v>37.891039999999997</v>
      </c>
      <c r="E424" s="36">
        <v>-121.57023</v>
      </c>
      <c r="F424" s="33" t="s">
        <v>16</v>
      </c>
      <c r="G424" s="33" t="s">
        <v>16</v>
      </c>
      <c r="H424" s="36">
        <v>20</v>
      </c>
      <c r="I424" s="33" t="s">
        <v>16</v>
      </c>
      <c r="J424" s="33" t="s">
        <v>16</v>
      </c>
      <c r="K424" s="3" t="s">
        <v>741</v>
      </c>
      <c r="L424" s="3" t="s">
        <v>10</v>
      </c>
      <c r="M424" s="3" t="s">
        <v>137</v>
      </c>
      <c r="N424" s="7" t="s">
        <v>630</v>
      </c>
    </row>
    <row r="425" spans="1:14" x14ac:dyDescent="0.35">
      <c r="A425" s="4" t="s">
        <v>628</v>
      </c>
      <c r="B425" s="35" t="s">
        <v>683</v>
      </c>
      <c r="C425" s="3" t="s">
        <v>31</v>
      </c>
      <c r="D425" s="36">
        <v>37.859929999999999</v>
      </c>
      <c r="E425" s="36">
        <v>-121.58105999999999</v>
      </c>
      <c r="F425" s="33" t="s">
        <v>16</v>
      </c>
      <c r="G425" s="33" t="s">
        <v>16</v>
      </c>
      <c r="H425" s="5">
        <v>19</v>
      </c>
      <c r="I425" s="33" t="s">
        <v>16</v>
      </c>
      <c r="J425" s="33" t="s">
        <v>16</v>
      </c>
      <c r="K425" s="3" t="s">
        <v>741</v>
      </c>
      <c r="L425" s="3" t="s">
        <v>10</v>
      </c>
      <c r="M425" s="3" t="s">
        <v>137</v>
      </c>
      <c r="N425" s="7" t="s">
        <v>630</v>
      </c>
    </row>
    <row r="426" spans="1:14" x14ac:dyDescent="0.35">
      <c r="A426" s="4" t="s">
        <v>628</v>
      </c>
      <c r="B426" s="35" t="s">
        <v>684</v>
      </c>
      <c r="C426" s="3" t="s">
        <v>31</v>
      </c>
      <c r="D426" s="36">
        <v>37.807609999999997</v>
      </c>
      <c r="E426" s="36">
        <v>-121.28128</v>
      </c>
      <c r="F426" s="33" t="s">
        <v>16</v>
      </c>
      <c r="G426" s="33" t="s">
        <v>16</v>
      </c>
      <c r="H426" s="5">
        <v>11</v>
      </c>
      <c r="I426" s="33" t="s">
        <v>16</v>
      </c>
      <c r="J426" s="33" t="s">
        <v>16</v>
      </c>
      <c r="K426" s="3" t="s">
        <v>741</v>
      </c>
      <c r="L426" s="3" t="s">
        <v>10</v>
      </c>
      <c r="M426" s="3" t="s">
        <v>137</v>
      </c>
      <c r="N426" s="7" t="s">
        <v>630</v>
      </c>
    </row>
    <row r="427" spans="1:14" x14ac:dyDescent="0.35">
      <c r="A427" s="4" t="s">
        <v>628</v>
      </c>
      <c r="B427" s="35" t="s">
        <v>685</v>
      </c>
      <c r="C427" s="3" t="s">
        <v>31</v>
      </c>
      <c r="D427" s="36">
        <v>37.790529999999997</v>
      </c>
      <c r="E427" s="36">
        <v>-121.41862999999999</v>
      </c>
      <c r="F427" s="33" t="s">
        <v>16</v>
      </c>
      <c r="G427" s="33" t="s">
        <v>16</v>
      </c>
      <c r="H427" s="5">
        <v>31</v>
      </c>
      <c r="I427" s="33" t="s">
        <v>16</v>
      </c>
      <c r="J427" s="33" t="s">
        <v>16</v>
      </c>
      <c r="K427" s="3" t="s">
        <v>741</v>
      </c>
      <c r="L427" s="3" t="s">
        <v>10</v>
      </c>
      <c r="M427" s="3" t="s">
        <v>137</v>
      </c>
      <c r="N427" s="7" t="s">
        <v>630</v>
      </c>
    </row>
    <row r="428" spans="1:14" x14ac:dyDescent="0.35">
      <c r="A428" s="4" t="s">
        <v>750</v>
      </c>
      <c r="B428" s="3" t="s">
        <v>686</v>
      </c>
      <c r="C428" s="3" t="s">
        <v>53</v>
      </c>
      <c r="D428" s="5">
        <v>53.4</v>
      </c>
      <c r="E428" s="5">
        <v>-3</v>
      </c>
      <c r="F428" s="3">
        <v>1853</v>
      </c>
      <c r="G428" s="3">
        <v>1904</v>
      </c>
      <c r="H428" s="5">
        <f t="shared" si="3"/>
        <v>52</v>
      </c>
      <c r="I428" s="3" t="s">
        <v>16</v>
      </c>
      <c r="J428" s="5">
        <v>0</v>
      </c>
      <c r="K428" s="3" t="s">
        <v>741</v>
      </c>
      <c r="L428" s="3" t="s">
        <v>687</v>
      </c>
      <c r="M428" s="3" t="s">
        <v>688</v>
      </c>
      <c r="N428" s="6" t="s">
        <v>689</v>
      </c>
    </row>
    <row r="429" spans="1:14" x14ac:dyDescent="0.35">
      <c r="A429" s="4" t="s">
        <v>750</v>
      </c>
      <c r="B429" s="3" t="s">
        <v>690</v>
      </c>
      <c r="C429" s="3" t="s">
        <v>53</v>
      </c>
      <c r="D429" s="5">
        <v>53.383333</v>
      </c>
      <c r="E429" s="5">
        <v>-3.2166670000000002</v>
      </c>
      <c r="F429" s="3">
        <v>1853</v>
      </c>
      <c r="G429" s="3">
        <v>1904</v>
      </c>
      <c r="H429" s="5">
        <f t="shared" si="3"/>
        <v>52</v>
      </c>
      <c r="I429" s="3" t="s">
        <v>16</v>
      </c>
      <c r="J429" s="5">
        <v>0</v>
      </c>
      <c r="K429" s="3" t="s">
        <v>741</v>
      </c>
      <c r="L429" s="3" t="s">
        <v>687</v>
      </c>
      <c r="M429" s="3" t="s">
        <v>688</v>
      </c>
      <c r="N429" s="6" t="s">
        <v>689</v>
      </c>
    </row>
    <row r="430" spans="1:14" x14ac:dyDescent="0.35">
      <c r="A430" s="4" t="s">
        <v>749</v>
      </c>
      <c r="B430" s="3" t="s">
        <v>691</v>
      </c>
      <c r="C430" s="3" t="s">
        <v>692</v>
      </c>
      <c r="D430" s="5">
        <v>1.2865660000000001</v>
      </c>
      <c r="E430" s="5">
        <v>103.851973</v>
      </c>
      <c r="F430" s="3">
        <v>1834</v>
      </c>
      <c r="G430" s="3">
        <v>1841</v>
      </c>
      <c r="H430" s="5">
        <f t="shared" si="3"/>
        <v>1.5</v>
      </c>
      <c r="I430" s="3" t="s">
        <v>693</v>
      </c>
      <c r="J430" s="5">
        <v>6.5</v>
      </c>
      <c r="K430" s="3" t="s">
        <v>741</v>
      </c>
      <c r="L430" s="3" t="s">
        <v>32</v>
      </c>
      <c r="M430" s="3" t="s">
        <v>137</v>
      </c>
      <c r="N430" s="6" t="s">
        <v>689</v>
      </c>
    </row>
    <row r="431" spans="1:14" x14ac:dyDescent="0.35">
      <c r="A431" s="4" t="s">
        <v>749</v>
      </c>
      <c r="B431" s="3" t="s">
        <v>691</v>
      </c>
      <c r="C431" s="3" t="s">
        <v>692</v>
      </c>
      <c r="D431" s="5">
        <v>1.2865660000000001</v>
      </c>
      <c r="E431" s="5">
        <v>103.851973</v>
      </c>
      <c r="F431" s="3">
        <v>1882</v>
      </c>
      <c r="G431" s="3">
        <v>1883</v>
      </c>
      <c r="H431" s="5">
        <f t="shared" si="3"/>
        <v>1</v>
      </c>
      <c r="I431" s="3" t="s">
        <v>694</v>
      </c>
      <c r="J431" s="5">
        <v>1</v>
      </c>
      <c r="K431" s="3" t="s">
        <v>741</v>
      </c>
      <c r="L431" s="3" t="s">
        <v>32</v>
      </c>
      <c r="M431" s="3" t="s">
        <v>33</v>
      </c>
      <c r="N431" s="46" t="s">
        <v>747</v>
      </c>
    </row>
    <row r="432" spans="1:14" x14ac:dyDescent="0.35">
      <c r="A432" s="4" t="s">
        <v>749</v>
      </c>
      <c r="B432" s="3" t="s">
        <v>695</v>
      </c>
      <c r="C432" s="3" t="s">
        <v>692</v>
      </c>
      <c r="D432" s="8">
        <v>1.2669999999999999</v>
      </c>
      <c r="E432" s="8">
        <v>103.85</v>
      </c>
      <c r="F432" s="3">
        <v>1865</v>
      </c>
      <c r="G432" s="3">
        <v>1865</v>
      </c>
      <c r="H432" s="5">
        <f t="shared" si="3"/>
        <v>1</v>
      </c>
      <c r="I432" s="3" t="s">
        <v>739</v>
      </c>
      <c r="J432" s="5">
        <v>0</v>
      </c>
      <c r="K432" s="3" t="s">
        <v>741</v>
      </c>
      <c r="L432" s="3" t="s">
        <v>32</v>
      </c>
      <c r="M432" s="3" t="s">
        <v>137</v>
      </c>
      <c r="N432" s="46" t="s">
        <v>747</v>
      </c>
    </row>
    <row r="433" spans="1:14" x14ac:dyDescent="0.35">
      <c r="A433" s="4" t="s">
        <v>749</v>
      </c>
      <c r="B433" s="3" t="s">
        <v>695</v>
      </c>
      <c r="C433" s="3" t="s">
        <v>692</v>
      </c>
      <c r="D433" s="8">
        <v>1.2669999999999999</v>
      </c>
      <c r="E433" s="8">
        <v>103.85</v>
      </c>
      <c r="F433" s="3">
        <v>1932</v>
      </c>
      <c r="G433" s="3">
        <v>1936</v>
      </c>
      <c r="H433" s="5">
        <f t="shared" si="3"/>
        <v>5</v>
      </c>
      <c r="I433" s="3" t="s">
        <v>16</v>
      </c>
      <c r="J433" s="5">
        <v>0</v>
      </c>
      <c r="K433" s="3" t="s">
        <v>741</v>
      </c>
      <c r="L433" s="3" t="s">
        <v>32</v>
      </c>
      <c r="M433" s="3" t="s">
        <v>33</v>
      </c>
      <c r="N433" s="46" t="s">
        <v>747</v>
      </c>
    </row>
    <row r="434" spans="1:14" x14ac:dyDescent="0.35">
      <c r="A434" s="4" t="s">
        <v>749</v>
      </c>
      <c r="B434" s="3" t="s">
        <v>695</v>
      </c>
      <c r="C434" s="3" t="s">
        <v>692</v>
      </c>
      <c r="D434" s="8">
        <v>1.2669999999999999</v>
      </c>
      <c r="E434" s="8">
        <v>103.85</v>
      </c>
      <c r="F434" s="3">
        <v>1953</v>
      </c>
      <c r="G434" s="3">
        <v>1958</v>
      </c>
      <c r="H434" s="5">
        <f t="shared" si="3"/>
        <v>5.09</v>
      </c>
      <c r="I434" s="3" t="s">
        <v>696</v>
      </c>
      <c r="J434" s="5">
        <v>0.91</v>
      </c>
      <c r="K434" s="3" t="s">
        <v>741</v>
      </c>
      <c r="L434" s="3" t="s">
        <v>32</v>
      </c>
      <c r="M434" s="3" t="s">
        <v>697</v>
      </c>
      <c r="N434" s="46" t="s">
        <v>747</v>
      </c>
    </row>
    <row r="435" spans="1:14" x14ac:dyDescent="0.35">
      <c r="A435" s="4" t="s">
        <v>749</v>
      </c>
      <c r="B435" s="3" t="s">
        <v>698</v>
      </c>
      <c r="C435" s="3" t="s">
        <v>692</v>
      </c>
      <c r="D435" s="8">
        <v>1.462</v>
      </c>
      <c r="E435" s="8">
        <v>103.792</v>
      </c>
      <c r="F435" s="3">
        <v>1923</v>
      </c>
      <c r="G435" s="3">
        <v>1929</v>
      </c>
      <c r="H435" s="5">
        <f>(1+(G435-F435))-J435</f>
        <v>2.33</v>
      </c>
      <c r="I435" s="3" t="s">
        <v>699</v>
      </c>
      <c r="J435" s="3">
        <v>4.67</v>
      </c>
      <c r="K435" s="3" t="s">
        <v>741</v>
      </c>
      <c r="L435" s="3" t="s">
        <v>32</v>
      </c>
      <c r="M435" s="3" t="s">
        <v>279</v>
      </c>
      <c r="N435" s="46" t="s">
        <v>747</v>
      </c>
    </row>
    <row r="436" spans="1:14" x14ac:dyDescent="0.35">
      <c r="A436" s="4" t="s">
        <v>749</v>
      </c>
      <c r="B436" s="3" t="s">
        <v>700</v>
      </c>
      <c r="C436" s="3" t="s">
        <v>692</v>
      </c>
      <c r="D436" s="8">
        <v>1.4670000000000001</v>
      </c>
      <c r="E436" s="8">
        <v>103.833</v>
      </c>
      <c r="F436" s="3">
        <v>1947</v>
      </c>
      <c r="G436" s="3">
        <v>1947</v>
      </c>
      <c r="H436" s="5">
        <f t="shared" si="3"/>
        <v>8.9999999999999969E-2</v>
      </c>
      <c r="I436" s="3" t="s">
        <v>701</v>
      </c>
      <c r="J436" s="5">
        <v>0.91</v>
      </c>
      <c r="K436" s="3" t="s">
        <v>32</v>
      </c>
      <c r="L436" s="3" t="s">
        <v>32</v>
      </c>
      <c r="M436" s="3" t="s">
        <v>23</v>
      </c>
      <c r="N436" s="46" t="s">
        <v>747</v>
      </c>
    </row>
    <row r="437" spans="1:14" x14ac:dyDescent="0.35">
      <c r="A437" s="4" t="s">
        <v>749</v>
      </c>
      <c r="B437" s="3" t="s">
        <v>702</v>
      </c>
      <c r="C437" s="3" t="s">
        <v>703</v>
      </c>
      <c r="D437" s="8">
        <v>-22.954810999999999</v>
      </c>
      <c r="E437" s="8">
        <v>14.486065</v>
      </c>
      <c r="F437" s="3">
        <v>1958</v>
      </c>
      <c r="G437" s="3">
        <v>2014</v>
      </c>
      <c r="H437" s="5">
        <f t="shared" si="3"/>
        <v>35</v>
      </c>
      <c r="I437" s="3" t="s">
        <v>704</v>
      </c>
      <c r="J437" s="5">
        <v>22</v>
      </c>
      <c r="K437" s="3" t="s">
        <v>32</v>
      </c>
      <c r="L437" s="3" t="s">
        <v>32</v>
      </c>
      <c r="M437" s="3" t="s">
        <v>279</v>
      </c>
      <c r="N437" s="46" t="s">
        <v>747</v>
      </c>
    </row>
    <row r="438" spans="1:14" x14ac:dyDescent="0.35">
      <c r="A438" s="4" t="s">
        <v>749</v>
      </c>
      <c r="B438" s="3" t="s">
        <v>705</v>
      </c>
      <c r="C438" s="3" t="s">
        <v>706</v>
      </c>
      <c r="D438" s="8">
        <v>-26.643184000000002</v>
      </c>
      <c r="E438" s="8">
        <v>15.153985</v>
      </c>
      <c r="F438" s="3">
        <v>1958</v>
      </c>
      <c r="G438" s="3">
        <v>2014</v>
      </c>
      <c r="H438" s="5">
        <f t="shared" si="3"/>
        <v>44</v>
      </c>
      <c r="I438" s="3" t="s">
        <v>707</v>
      </c>
      <c r="J438" s="5">
        <v>13</v>
      </c>
      <c r="K438" s="3" t="s">
        <v>32</v>
      </c>
      <c r="L438" s="3" t="s">
        <v>32</v>
      </c>
      <c r="M438" s="3" t="s">
        <v>279</v>
      </c>
      <c r="N438" s="46" t="s">
        <v>747</v>
      </c>
    </row>
    <row r="439" spans="1:14" x14ac:dyDescent="0.35">
      <c r="A439" s="4" t="s">
        <v>749</v>
      </c>
      <c r="B439" s="3" t="s">
        <v>708</v>
      </c>
      <c r="C439" s="3" t="s">
        <v>706</v>
      </c>
      <c r="D439" s="8">
        <v>-29.265045000000001</v>
      </c>
      <c r="E439" s="8">
        <v>16.868980000000001</v>
      </c>
      <c r="F439" s="3">
        <v>1956</v>
      </c>
      <c r="G439" s="3">
        <v>2014</v>
      </c>
      <c r="H439" s="5">
        <f t="shared" si="3"/>
        <v>53</v>
      </c>
      <c r="I439" s="3" t="s">
        <v>709</v>
      </c>
      <c r="J439" s="5">
        <v>6</v>
      </c>
      <c r="K439" s="3" t="s">
        <v>32</v>
      </c>
      <c r="L439" s="3" t="s">
        <v>32</v>
      </c>
      <c r="M439" s="3" t="s">
        <v>279</v>
      </c>
      <c r="N439" s="46" t="s">
        <v>747</v>
      </c>
    </row>
    <row r="440" spans="1:14" x14ac:dyDescent="0.35">
      <c r="A440" s="4" t="s">
        <v>749</v>
      </c>
      <c r="B440" s="3" t="s">
        <v>710</v>
      </c>
      <c r="C440" s="3" t="s">
        <v>706</v>
      </c>
      <c r="D440" s="8">
        <v>-32.723230999999998</v>
      </c>
      <c r="E440" s="8">
        <v>17.978342000000001</v>
      </c>
      <c r="F440" s="3">
        <v>1957</v>
      </c>
      <c r="G440" s="3">
        <v>1962</v>
      </c>
      <c r="H440" s="5">
        <f t="shared" si="3"/>
        <v>6</v>
      </c>
      <c r="I440" s="3" t="s">
        <v>16</v>
      </c>
      <c r="J440" s="5">
        <v>0</v>
      </c>
      <c r="K440" s="3" t="s">
        <v>32</v>
      </c>
      <c r="L440" s="3" t="s">
        <v>32</v>
      </c>
      <c r="M440" s="3" t="s">
        <v>279</v>
      </c>
      <c r="N440" s="46" t="s">
        <v>747</v>
      </c>
    </row>
    <row r="441" spans="1:14" x14ac:dyDescent="0.35">
      <c r="A441" s="4" t="s">
        <v>749</v>
      </c>
      <c r="B441" s="3" t="s">
        <v>711</v>
      </c>
      <c r="C441" s="3" t="s">
        <v>706</v>
      </c>
      <c r="D441" s="8">
        <v>-33.003106000000002</v>
      </c>
      <c r="E441" s="8">
        <v>17.993748</v>
      </c>
      <c r="F441" s="3">
        <v>1972</v>
      </c>
      <c r="G441" s="3">
        <v>2016</v>
      </c>
      <c r="H441" s="5">
        <f t="shared" si="3"/>
        <v>35</v>
      </c>
      <c r="I441" s="3" t="s">
        <v>712</v>
      </c>
      <c r="J441" s="5">
        <v>10</v>
      </c>
      <c r="K441" s="3" t="s">
        <v>32</v>
      </c>
      <c r="L441" s="3" t="s">
        <v>32</v>
      </c>
      <c r="M441" s="3" t="s">
        <v>279</v>
      </c>
      <c r="N441" s="46" t="s">
        <v>747</v>
      </c>
    </row>
    <row r="442" spans="1:14" x14ac:dyDescent="0.35">
      <c r="A442" s="4" t="s">
        <v>749</v>
      </c>
      <c r="B442" s="3" t="s">
        <v>713</v>
      </c>
      <c r="C442" s="3" t="s">
        <v>706</v>
      </c>
      <c r="D442" s="8">
        <v>-33.797657000000001</v>
      </c>
      <c r="E442" s="8">
        <v>18.378215000000001</v>
      </c>
      <c r="F442" s="3">
        <v>1957</v>
      </c>
      <c r="G442" s="3">
        <v>1959</v>
      </c>
      <c r="H442" s="5">
        <f t="shared" si="3"/>
        <v>3</v>
      </c>
      <c r="I442" s="3" t="s">
        <v>16</v>
      </c>
      <c r="J442" s="5">
        <v>0</v>
      </c>
      <c r="K442" s="3" t="s">
        <v>32</v>
      </c>
      <c r="L442" s="3" t="s">
        <v>32</v>
      </c>
      <c r="M442" s="3" t="s">
        <v>279</v>
      </c>
      <c r="N442" s="46" t="s">
        <v>747</v>
      </c>
    </row>
    <row r="443" spans="1:14" x14ac:dyDescent="0.35">
      <c r="A443" s="4" t="s">
        <v>749</v>
      </c>
      <c r="B443" s="3" t="s">
        <v>714</v>
      </c>
      <c r="C443" s="3" t="s">
        <v>706</v>
      </c>
      <c r="D443" s="8">
        <v>-33.901017000000003</v>
      </c>
      <c r="E443" s="8">
        <v>18.415526</v>
      </c>
      <c r="F443" s="3">
        <v>1966</v>
      </c>
      <c r="G443" s="3">
        <v>2016</v>
      </c>
      <c r="H443" s="5">
        <f t="shared" si="3"/>
        <v>42</v>
      </c>
      <c r="I443" s="3" t="s">
        <v>715</v>
      </c>
      <c r="J443" s="5">
        <v>9</v>
      </c>
      <c r="K443" s="3" t="s">
        <v>32</v>
      </c>
      <c r="L443" s="3" t="s">
        <v>32</v>
      </c>
      <c r="M443" s="3" t="s">
        <v>279</v>
      </c>
      <c r="N443" s="46" t="s">
        <v>747</v>
      </c>
    </row>
    <row r="444" spans="1:14" x14ac:dyDescent="0.35">
      <c r="A444" s="4" t="s">
        <v>749</v>
      </c>
      <c r="B444" s="3" t="s">
        <v>716</v>
      </c>
      <c r="C444" s="3" t="s">
        <v>706</v>
      </c>
      <c r="D444" s="8">
        <v>-33.906410999999999</v>
      </c>
      <c r="E444" s="8">
        <v>18.432728999999998</v>
      </c>
      <c r="F444" s="3">
        <v>1888</v>
      </c>
      <c r="G444" s="3">
        <v>1970</v>
      </c>
      <c r="H444" s="5">
        <f t="shared" si="3"/>
        <v>31</v>
      </c>
      <c r="I444" s="3" t="s">
        <v>717</v>
      </c>
      <c r="J444" s="5">
        <v>52</v>
      </c>
      <c r="K444" s="3" t="s">
        <v>32</v>
      </c>
      <c r="L444" s="3" t="s">
        <v>32</v>
      </c>
      <c r="M444" s="3" t="s">
        <v>279</v>
      </c>
      <c r="N444" s="46" t="s">
        <v>747</v>
      </c>
    </row>
    <row r="445" spans="1:14" x14ac:dyDescent="0.35">
      <c r="A445" s="4" t="s">
        <v>749</v>
      </c>
      <c r="B445" s="3" t="s">
        <v>718</v>
      </c>
      <c r="C445" s="3" t="s">
        <v>706</v>
      </c>
      <c r="D445" s="8">
        <v>-34.051886000000003</v>
      </c>
      <c r="E445" s="8">
        <v>18.346454000000001</v>
      </c>
      <c r="F445" s="3">
        <v>1957</v>
      </c>
      <c r="G445" s="3">
        <v>1975</v>
      </c>
      <c r="H445" s="5">
        <f t="shared" si="3"/>
        <v>9</v>
      </c>
      <c r="I445" s="3" t="s">
        <v>719</v>
      </c>
      <c r="J445" s="5">
        <v>10</v>
      </c>
      <c r="K445" s="3" t="s">
        <v>32</v>
      </c>
      <c r="L445" s="3" t="s">
        <v>32</v>
      </c>
      <c r="M445" s="3" t="s">
        <v>279</v>
      </c>
      <c r="N445" s="46" t="s">
        <v>747</v>
      </c>
    </row>
    <row r="446" spans="1:14" x14ac:dyDescent="0.35">
      <c r="A446" s="4" t="s">
        <v>749</v>
      </c>
      <c r="B446" s="3" t="s">
        <v>720</v>
      </c>
      <c r="C446" s="3" t="s">
        <v>706</v>
      </c>
      <c r="D446" s="8">
        <v>-34.189658000000001</v>
      </c>
      <c r="E446" s="8">
        <v>18.436533000000001</v>
      </c>
      <c r="F446" s="3">
        <v>1836</v>
      </c>
      <c r="G446" s="3">
        <v>2021</v>
      </c>
      <c r="H446" s="5">
        <f t="shared" si="3"/>
        <v>53</v>
      </c>
      <c r="I446" t="s">
        <v>721</v>
      </c>
      <c r="J446" s="5">
        <v>133</v>
      </c>
      <c r="K446" s="3" t="s">
        <v>32</v>
      </c>
      <c r="L446" s="3" t="s">
        <v>32</v>
      </c>
      <c r="M446" s="3" t="s">
        <v>279</v>
      </c>
      <c r="N446" s="46" t="s">
        <v>747</v>
      </c>
    </row>
    <row r="447" spans="1:14" x14ac:dyDescent="0.35">
      <c r="A447" s="4" t="s">
        <v>749</v>
      </c>
      <c r="B447" s="3" t="s">
        <v>722</v>
      </c>
      <c r="C447" s="3" t="s">
        <v>706</v>
      </c>
      <c r="D447" s="8">
        <v>-34.434364000000002</v>
      </c>
      <c r="E447" s="8">
        <v>19.225933999999999</v>
      </c>
      <c r="F447" s="3">
        <v>1958</v>
      </c>
      <c r="G447" s="3">
        <v>1964</v>
      </c>
      <c r="H447" s="5">
        <f t="shared" si="3"/>
        <v>7</v>
      </c>
      <c r="I447" s="3" t="s">
        <v>16</v>
      </c>
      <c r="J447" s="5">
        <v>0</v>
      </c>
      <c r="K447" s="3" t="s">
        <v>32</v>
      </c>
      <c r="L447" s="3" t="s">
        <v>32</v>
      </c>
      <c r="M447" s="3" t="s">
        <v>279</v>
      </c>
      <c r="N447" s="46" t="s">
        <v>747</v>
      </c>
    </row>
    <row r="448" spans="1:14" x14ac:dyDescent="0.35">
      <c r="A448" s="4" t="s">
        <v>749</v>
      </c>
      <c r="B448" s="3" t="s">
        <v>723</v>
      </c>
      <c r="C448" s="3" t="s">
        <v>706</v>
      </c>
      <c r="D448" s="8">
        <v>-34.178418000000001</v>
      </c>
      <c r="E448" s="8">
        <v>22.144606</v>
      </c>
      <c r="F448" s="3">
        <v>1958</v>
      </c>
      <c r="G448" s="3">
        <v>2016</v>
      </c>
      <c r="H448" s="5">
        <f t="shared" si="3"/>
        <v>48</v>
      </c>
      <c r="I448" s="3" t="s">
        <v>724</v>
      </c>
      <c r="J448" s="5">
        <v>11</v>
      </c>
      <c r="K448" s="3" t="s">
        <v>32</v>
      </c>
      <c r="L448" s="3" t="s">
        <v>32</v>
      </c>
      <c r="M448" s="3" t="s">
        <v>279</v>
      </c>
      <c r="N448" s="46" t="s">
        <v>747</v>
      </c>
    </row>
    <row r="449" spans="1:23" x14ac:dyDescent="0.35">
      <c r="A449" s="4" t="s">
        <v>749</v>
      </c>
      <c r="B449" s="3" t="s">
        <v>725</v>
      </c>
      <c r="C449" s="3" t="s">
        <v>706</v>
      </c>
      <c r="D449" s="8">
        <v>-34.041114999999998</v>
      </c>
      <c r="E449" s="8">
        <v>23.042766</v>
      </c>
      <c r="F449" s="3">
        <v>1960</v>
      </c>
      <c r="G449" s="3">
        <v>2016</v>
      </c>
      <c r="H449" s="5">
        <f t="shared" si="3"/>
        <v>38</v>
      </c>
      <c r="I449" s="3" t="s">
        <v>726</v>
      </c>
      <c r="J449" s="5">
        <v>19</v>
      </c>
      <c r="K449" s="3" t="s">
        <v>32</v>
      </c>
      <c r="L449" s="3" t="s">
        <v>32</v>
      </c>
      <c r="M449" s="3" t="s">
        <v>279</v>
      </c>
      <c r="N449" s="46" t="s">
        <v>747</v>
      </c>
    </row>
    <row r="450" spans="1:23" x14ac:dyDescent="0.35">
      <c r="A450" s="4" t="s">
        <v>749</v>
      </c>
      <c r="B450" s="3" t="s">
        <v>465</v>
      </c>
      <c r="C450" s="3" t="s">
        <v>706</v>
      </c>
      <c r="D450" s="8">
        <v>-33.961784999999999</v>
      </c>
      <c r="E450" s="8">
        <v>25.635940999999999</v>
      </c>
      <c r="F450" s="3">
        <v>1897</v>
      </c>
      <c r="G450" s="3">
        <v>2021</v>
      </c>
      <c r="H450" s="5">
        <f t="shared" si="3"/>
        <v>43</v>
      </c>
      <c r="I450" s="3" t="s">
        <v>727</v>
      </c>
      <c r="J450" s="5">
        <v>82</v>
      </c>
      <c r="K450" s="3" t="s">
        <v>32</v>
      </c>
      <c r="L450" s="3" t="s">
        <v>32</v>
      </c>
      <c r="M450" s="3" t="s">
        <v>279</v>
      </c>
      <c r="N450" s="46" t="s">
        <v>747</v>
      </c>
    </row>
    <row r="451" spans="1:23" x14ac:dyDescent="0.35">
      <c r="A451" s="4" t="s">
        <v>749</v>
      </c>
      <c r="B451" s="3" t="s">
        <v>728</v>
      </c>
      <c r="C451" s="3" t="s">
        <v>706</v>
      </c>
      <c r="D451" s="8">
        <v>-33.025978000000002</v>
      </c>
      <c r="E451" s="8">
        <v>27.906426</v>
      </c>
      <c r="F451" s="3">
        <v>1965</v>
      </c>
      <c r="G451" s="3">
        <v>2016</v>
      </c>
      <c r="H451" s="5">
        <f t="shared" si="3"/>
        <v>36</v>
      </c>
      <c r="I451" s="3" t="s">
        <v>729</v>
      </c>
      <c r="J451" s="5">
        <v>16</v>
      </c>
      <c r="K451" s="3" t="s">
        <v>32</v>
      </c>
      <c r="L451" s="3" t="s">
        <v>32</v>
      </c>
      <c r="M451" s="3" t="s">
        <v>279</v>
      </c>
      <c r="N451" s="46" t="s">
        <v>747</v>
      </c>
    </row>
    <row r="452" spans="1:23" x14ac:dyDescent="0.35">
      <c r="A452" s="4" t="s">
        <v>749</v>
      </c>
      <c r="B452" s="3" t="s">
        <v>730</v>
      </c>
      <c r="C452" s="3" t="s">
        <v>706</v>
      </c>
      <c r="D452" s="8">
        <v>-29.873816000000001</v>
      </c>
      <c r="E452" s="8">
        <v>31.047995</v>
      </c>
      <c r="F452" s="3">
        <v>1883</v>
      </c>
      <c r="G452" s="3">
        <v>2021</v>
      </c>
      <c r="H452" s="5">
        <f t="shared" si="3"/>
        <v>52</v>
      </c>
      <c r="I452" s="3" t="s">
        <v>731</v>
      </c>
      <c r="J452" s="5">
        <v>87</v>
      </c>
      <c r="K452" s="3" t="s">
        <v>32</v>
      </c>
      <c r="L452" s="3" t="s">
        <v>32</v>
      </c>
      <c r="M452" s="3" t="s">
        <v>279</v>
      </c>
      <c r="N452" s="46" t="s">
        <v>747</v>
      </c>
    </row>
    <row r="453" spans="1:23" x14ac:dyDescent="0.35">
      <c r="A453" s="4" t="s">
        <v>749</v>
      </c>
      <c r="B453" s="3" t="s">
        <v>732</v>
      </c>
      <c r="C453" s="3" t="s">
        <v>706</v>
      </c>
      <c r="D453" s="8">
        <v>-28.794550999999998</v>
      </c>
      <c r="E453" s="8">
        <v>32.049841999999998</v>
      </c>
      <c r="F453" s="3">
        <v>1976</v>
      </c>
      <c r="G453" s="3">
        <v>2016</v>
      </c>
      <c r="H453" s="5">
        <f t="shared" si="3"/>
        <v>24</v>
      </c>
      <c r="I453" s="3" t="s">
        <v>733</v>
      </c>
      <c r="J453" s="5">
        <v>17</v>
      </c>
      <c r="K453" s="3" t="s">
        <v>32</v>
      </c>
      <c r="L453" s="3" t="s">
        <v>32</v>
      </c>
      <c r="M453" s="3" t="s">
        <v>279</v>
      </c>
      <c r="N453" s="46" t="s">
        <v>747</v>
      </c>
    </row>
    <row r="454" spans="1:23" x14ac:dyDescent="0.35">
      <c r="A454" s="4" t="s">
        <v>748</v>
      </c>
      <c r="B454" s="3" t="s">
        <v>734</v>
      </c>
      <c r="C454" s="3" t="s">
        <v>53</v>
      </c>
      <c r="D454" s="5">
        <v>55.856417</v>
      </c>
      <c r="E454" s="5">
        <v>-4.2630689999999998</v>
      </c>
      <c r="F454" s="3">
        <v>1890</v>
      </c>
      <c r="G454" s="3">
        <v>1971</v>
      </c>
      <c r="H454" s="5">
        <f>(1+(G454-F454))-J454</f>
        <v>1.5769230769230802</v>
      </c>
      <c r="I454" s="3" t="s">
        <v>735</v>
      </c>
      <c r="J454" s="5">
        <v>80.42307692307692</v>
      </c>
      <c r="K454" s="3" t="s">
        <v>261</v>
      </c>
      <c r="L454" s="12" t="s">
        <v>10</v>
      </c>
      <c r="M454" s="3" t="s">
        <v>569</v>
      </c>
      <c r="N454" s="46" t="s">
        <v>747</v>
      </c>
    </row>
    <row r="455" spans="1:23" x14ac:dyDescent="0.35">
      <c r="B455" s="3" t="s">
        <v>736</v>
      </c>
      <c r="C455" s="3" t="s">
        <v>53</v>
      </c>
      <c r="D455" s="5">
        <v>55.929366000000002</v>
      </c>
      <c r="E455" s="5">
        <v>-4.4836320000000001</v>
      </c>
      <c r="F455" s="3">
        <v>1888</v>
      </c>
      <c r="G455" s="3">
        <v>1952</v>
      </c>
      <c r="H455" s="5">
        <f>(1+(G455-F455))-J455</f>
        <v>1.25</v>
      </c>
      <c r="I455" s="3" t="s">
        <v>735</v>
      </c>
      <c r="J455" s="5">
        <v>63.75</v>
      </c>
      <c r="K455" s="3" t="s">
        <v>261</v>
      </c>
      <c r="L455" s="12" t="s">
        <v>10</v>
      </c>
      <c r="M455" s="3" t="s">
        <v>569</v>
      </c>
      <c r="N455" s="46" t="s">
        <v>747</v>
      </c>
    </row>
    <row r="456" spans="1:23" s="37" customFormat="1" x14ac:dyDescent="0.35">
      <c r="A456" s="38"/>
      <c r="B456" s="37" t="s">
        <v>737</v>
      </c>
      <c r="C456" s="37" t="s">
        <v>53</v>
      </c>
      <c r="D456" s="39">
        <v>55.893051999999997</v>
      </c>
      <c r="E456" s="39">
        <v>-4.4018449999999998</v>
      </c>
      <c r="F456" s="37">
        <v>1908</v>
      </c>
      <c r="G456" s="37">
        <v>1970</v>
      </c>
      <c r="H456" s="39">
        <f>(1+(G456-F456))-J456</f>
        <v>1.2115384615384599</v>
      </c>
      <c r="I456" s="37" t="s">
        <v>735</v>
      </c>
      <c r="J456" s="39">
        <v>61.78846153846154</v>
      </c>
      <c r="K456" s="37" t="s">
        <v>261</v>
      </c>
      <c r="L456" s="37" t="s">
        <v>10</v>
      </c>
      <c r="M456" s="37" t="s">
        <v>569</v>
      </c>
      <c r="N456" s="46" t="s">
        <v>747</v>
      </c>
      <c r="O456"/>
      <c r="P456"/>
      <c r="Q456"/>
      <c r="R456"/>
      <c r="S456"/>
      <c r="T456"/>
      <c r="U456"/>
      <c r="V456"/>
    </row>
    <row r="457" spans="1:23" x14ac:dyDescent="0.35">
      <c r="B457" s="3" t="s">
        <v>738</v>
      </c>
      <c r="C457" s="3" t="s">
        <v>53</v>
      </c>
      <c r="D457" s="5">
        <v>55.961213000000001</v>
      </c>
      <c r="E457" s="5">
        <v>-4.8149480000000002</v>
      </c>
      <c r="F457" s="3">
        <v>1922</v>
      </c>
      <c r="G457" s="3">
        <v>1965</v>
      </c>
      <c r="H457" s="5">
        <f>(1+(G457-F457))-J457</f>
        <v>0.8461538461538467</v>
      </c>
      <c r="I457" s="3" t="s">
        <v>735</v>
      </c>
      <c r="J457" s="5">
        <v>43.153846153846153</v>
      </c>
      <c r="K457" s="3" t="s">
        <v>261</v>
      </c>
      <c r="L457" s="3" t="s">
        <v>10</v>
      </c>
      <c r="M457" s="3" t="s">
        <v>569</v>
      </c>
      <c r="N457" s="46" t="s">
        <v>747</v>
      </c>
      <c r="W457" s="45"/>
    </row>
    <row r="458" spans="1:23" customFormat="1" x14ac:dyDescent="0.35">
      <c r="A458" s="40"/>
      <c r="D458" s="41"/>
      <c r="E458" s="41"/>
      <c r="H458" s="41"/>
      <c r="J458" s="41"/>
    </row>
    <row r="459" spans="1:23" customFormat="1" x14ac:dyDescent="0.35">
      <c r="A459" s="40"/>
      <c r="D459" s="41"/>
      <c r="E459" s="41"/>
      <c r="H459" s="41"/>
      <c r="J459" s="41"/>
    </row>
    <row r="460" spans="1:23" customFormat="1" x14ac:dyDescent="0.35">
      <c r="A460" s="40"/>
      <c r="D460" s="41"/>
      <c r="E460" s="41"/>
      <c r="H460" s="41"/>
      <c r="J460" s="41"/>
    </row>
    <row r="461" spans="1:23" customFormat="1" x14ac:dyDescent="0.35">
      <c r="A461" s="40"/>
      <c r="D461" s="41"/>
      <c r="E461" s="41"/>
      <c r="H461" s="41"/>
      <c r="J461" s="41"/>
    </row>
    <row r="462" spans="1:23" customFormat="1" x14ac:dyDescent="0.35">
      <c r="A462" s="40"/>
      <c r="D462" s="41"/>
      <c r="E462" s="41"/>
      <c r="H462" s="41"/>
      <c r="J462" s="41"/>
    </row>
    <row r="463" spans="1:23" customFormat="1" x14ac:dyDescent="0.35">
      <c r="A463" s="40"/>
      <c r="D463" s="41"/>
      <c r="E463" s="41"/>
      <c r="H463" s="41"/>
      <c r="J463" s="41"/>
    </row>
    <row r="464" spans="1:23" customFormat="1" x14ac:dyDescent="0.35">
      <c r="D464" s="41"/>
      <c r="E464" s="41"/>
      <c r="H464" s="41"/>
      <c r="J464" s="41"/>
    </row>
    <row r="465" spans="1:22" customFormat="1" x14ac:dyDescent="0.35">
      <c r="A465" s="40"/>
      <c r="D465" s="41"/>
      <c r="E465" s="41"/>
      <c r="H465" s="41"/>
      <c r="J465" s="41"/>
    </row>
    <row r="466" spans="1:22" customFormat="1" x14ac:dyDescent="0.35">
      <c r="A466" s="40"/>
      <c r="D466" s="41"/>
      <c r="E466" s="41"/>
      <c r="H466" s="41"/>
      <c r="J466" s="41"/>
    </row>
    <row r="467" spans="1:22" customFormat="1" x14ac:dyDescent="0.35">
      <c r="A467" s="40"/>
      <c r="D467" s="41"/>
      <c r="E467" s="41"/>
      <c r="H467" s="41"/>
      <c r="J467" s="41"/>
    </row>
    <row r="468" spans="1:22" customFormat="1" x14ac:dyDescent="0.35">
      <c r="A468" s="40"/>
      <c r="D468" s="41"/>
      <c r="E468" s="41"/>
      <c r="H468" s="41"/>
      <c r="J468" s="41"/>
    </row>
    <row r="469" spans="1:22" customFormat="1" x14ac:dyDescent="0.35">
      <c r="A469" s="40"/>
      <c r="D469" s="41"/>
      <c r="E469" s="41"/>
      <c r="H469" s="41"/>
      <c r="J469" s="41"/>
    </row>
    <row r="470" spans="1:22" customFormat="1" x14ac:dyDescent="0.35">
      <c r="A470" s="40"/>
      <c r="D470" s="41"/>
      <c r="E470" s="41"/>
      <c r="H470" s="41"/>
      <c r="J470" s="41"/>
    </row>
    <row r="471" spans="1:22" customFormat="1" x14ac:dyDescent="0.35">
      <c r="A471" s="40"/>
      <c r="D471" s="41"/>
      <c r="E471" s="41"/>
      <c r="H471" s="41"/>
      <c r="J471" s="41"/>
    </row>
    <row r="472" spans="1:22" customFormat="1" x14ac:dyDescent="0.35">
      <c r="A472" s="40"/>
      <c r="D472" s="41"/>
      <c r="E472" s="41"/>
      <c r="H472" s="41"/>
      <c r="J472" s="41"/>
    </row>
    <row r="473" spans="1:22" customFormat="1" x14ac:dyDescent="0.35">
      <c r="A473" s="40"/>
      <c r="D473" s="41"/>
      <c r="E473" s="41"/>
      <c r="H473" s="41"/>
      <c r="J473" s="41"/>
    </row>
    <row r="474" spans="1:22" customFormat="1" x14ac:dyDescent="0.35">
      <c r="A474" s="40"/>
      <c r="D474" s="41"/>
      <c r="E474" s="41"/>
      <c r="H474" s="41"/>
      <c r="J474" s="41"/>
    </row>
    <row r="475" spans="1:22" s="43" customFormat="1" x14ac:dyDescent="0.35">
      <c r="A475" s="42"/>
      <c r="D475" s="44"/>
      <c r="E475" s="44"/>
      <c r="H475" s="44"/>
      <c r="J475" s="44"/>
      <c r="O475"/>
      <c r="P475"/>
      <c r="Q475"/>
      <c r="R475"/>
      <c r="S475"/>
      <c r="T475"/>
      <c r="U475"/>
      <c r="V475"/>
    </row>
  </sheetData>
  <phoneticPr fontId="19" type="noConversion"/>
  <hyperlinks>
    <hyperlink ref="N371" r:id="rId1" display="https://rmets.onlinelibrary.wiley.com/doi/10.1002/gdj3.256" xr:uid="{CDBE703E-A691-4397-8D57-DAD1F6FA2A06}"/>
    <hyperlink ref="N428" r:id="rId2" display="https://www.zooniverse.org/projects/psmsl/uk-tides" xr:uid="{FB4F9D8F-26E5-4674-8B25-C90CE04BFBB5}"/>
    <hyperlink ref="N351" r:id="rId3" display="https://www.proquest.com/docview/2649433831?fromopenview=true&amp;pq-origsite=gscholar&amp;sourcetype=Scholarly%20Journals" xr:uid="{01B309E5-F64E-4660-9404-AD0844270B3D}"/>
    <hyperlink ref="N369" r:id="rId4" display="https://agupubs.onlinelibrary.wiley.com/doi/full/10.1029/2024JC020908" xr:uid="{A74E5A7F-41F1-4B6E-B659-C0E9DD037669}"/>
    <hyperlink ref="N7" r:id="rId5" display="https://agupubs.onlinelibrary.wiley.com/doi/epdf/10.1029/94JB00279" xr:uid="{51F6AB4A-DB08-4EAF-8E6F-E0ED5C55F170}"/>
    <hyperlink ref="N15" r:id="rId6" display="https://agupubs.onlinelibrary.wiley.com/doi/epdf/10.1029/1999GL900323" xr:uid="{3346D3C7-D9C9-406B-8314-25B91B894022}"/>
    <hyperlink ref="N19" r:id="rId7" display="https://psmsl.org/data/longrecords/ReportsFGI_2000_1.pdf" xr:uid="{1F76DB66-4FFF-4C6D-9000-60EBD3F8DB46}"/>
    <hyperlink ref="N22" r:id="rId8" display="https://psmsl.org/products/author_archive/ekman_2003.pdf" xr:uid="{5CA6D1C9-2180-4679-9549-DCBD341DC9D3}"/>
    <hyperlink ref="N23" r:id="rId9" display="https://agupubs.onlinelibrary.wiley.com/doi/full/10.1029/2002GL016813" xr:uid="{6C54971C-D594-47EF-9251-9F517861F842}"/>
    <hyperlink ref="N58" r:id="rId10" display="https://link.springer.com/article/10.1007/s10236-005-0044-z" xr:uid="{ECE20F09-77F2-4DEC-9D19-167469F61641}"/>
    <hyperlink ref="N63" r:id="rId11" display="https://link.springer.com/article/10.1007/s10236-005-0056-8" xr:uid="{162FFAEF-B64E-45A8-9478-17CF6136173F}"/>
    <hyperlink ref="N67" r:id="rId12" display="https://binp.regione.veneto.it/SebinaOpac/resource/18722004-la-serie-storica-delle-maree-a-venezia/VIA01614330" xr:uid="{591231DA-642F-4D09-979B-CB3261A094AB}"/>
    <hyperlink ref="N74" r:id="rId13" display="https://www.jstor.org/stable/4496116?seq=2" xr:uid="{2DC79D97-027A-40BA-B7C2-B0586E26D103}"/>
    <hyperlink ref="N82" r:id="rId14" display="https://www.sciencedirect.com/science/article/pii/S0278434309002313" xr:uid="{3466656F-D471-4208-9A6A-171F1135D2BA}"/>
    <hyperlink ref="N87" r:id="rId15" display="https://agupubs.onlinelibrary.wiley.com/doi/full/10.1029/2010JC006404" xr:uid="{5E0173E6-1B7F-4F7A-AE91-D20930155196}"/>
    <hyperlink ref="N88" r:id="rId16" display="https://agupubs.onlinelibrary.wiley.com/doi/full/10.1029/2010JC006113" xr:uid="{254178CD-7931-449F-AAF3-F4AF41426A7F}"/>
    <hyperlink ref="N90" r:id="rId17" display="https://agupubs.onlinelibrary.wiley.com/doi/full/10.1029/2011JC007558" xr:uid="{2FE6BBF9-3304-47FB-8D97-C3BBDD2CBFE5}"/>
    <hyperlink ref="N91" r:id="rId18" display="https://www.tandfonline.com/doi/abs/10.2989/1814232X.2012.689623?casa_token=zBny8ik3tAMAAAAA:D-WLZrlhXskUGl1Xag8khGwd83rNrPI2GZ94RlKOsCvfW4t4DDubKDq8PhmhPgZCerNLRIoGbCBZ" xr:uid="{D039FCC3-D9B4-4857-A760-C914CF60F3A1}"/>
    <hyperlink ref="N94" r:id="rId19" display="https://agupubs.onlinelibrary.wiley.com/doi/full/10.1002/jgrc.20377" xr:uid="{016A9C08-EBD2-43C7-8E02-E55432E8147C}"/>
    <hyperlink ref="N97" r:id="rId20" location="s0010" xr:uid="{C62C6EDC-6C61-4B17-BFF1-A9985C2C47BD}"/>
    <hyperlink ref="N117" r:id="rId21" display="https://agupubs.onlinelibrary.wiley.com/doi/full/10.1002/2014GL059574" xr:uid="{9D1A0512-A284-4FA5-B1DC-3B262FC230D6}"/>
    <hyperlink ref="N124" r:id="rId22" display="https://link.springer.com/article/10.1007/s00190-014-0728-6" xr:uid="{EA95C835-7A67-43F1-B2AA-E6C430AEBDFD}"/>
    <hyperlink ref="N208" r:id="rId23" display="https://www.researchgate.net/publication/273705568_Maintaining_legacy_data_Saving_Belfast_Harbour_UK_tide-gauge_data_1901-2010" xr:uid="{FF37634D-7427-4CB9-B6D5-D49911706039}"/>
    <hyperlink ref="N255" r:id="rId24" display="https://agupubs.onlinelibrary.wiley.com/doi/full/10.1029/2017JC013645" xr:uid="{65554EBC-FE7D-45C4-A11E-CC0917C119D6}"/>
    <hyperlink ref="N268" r:id="rId25" location="Sec2" display="https://link.springer.com/article/10.1007/s00190-019-01238-w - Sec2" xr:uid="{DE8703DF-E605-4F9D-AF83-C743C8EC6253}"/>
    <hyperlink ref="N274" r:id="rId26" location="b0420" display="https://www.sciencedirect.com/science/article/pii/S0079661120300720 - b0420" xr:uid="{ADE659AC-BDB8-49A3-A586-D339D87C964E}"/>
    <hyperlink ref="N313" r:id="rId27" display="https://agupubs.onlinelibrary.wiley.com/doi/full/10.1029/2019JC015656" xr:uid="{F4842CAE-EBF3-4005-A5BA-27E91AA4A608}"/>
    <hyperlink ref="N319" r:id="rId28" display="https://theses.hal.science/tel-02899411/" xr:uid="{53D97A78-F8FA-4BA9-A780-8EBC88B94DC6}"/>
    <hyperlink ref="N325" r:id="rId29" display="https://rmets.onlinelibrary.wiley.com/doi/full/10.1002/gdj3.112" xr:uid="{10481116-43D0-4E8D-827B-44663E58C1E4}"/>
    <hyperlink ref="N333" r:id="rId30" display="https://southerncoastalgroup-scopac.org.uk/wp-content/uploads/2022/01/Digitisation-and-Analysis-of-Poole-Harbour-Tide-Gauge-Record-September-2021.pdf" xr:uid="{D4F216B9-F46A-498E-80BD-650EFDF597C0}"/>
    <hyperlink ref="N214" r:id="rId31" display="https://agupubs.onlinelibrary.wiley.com/doi/full/10.1002/2016GL069494" xr:uid="{375E9DDC-75BF-444F-B7FC-46CAE4995091}"/>
    <hyperlink ref="N260" r:id="rId32" display="https://agupubs.onlinelibrary.wiley.com/doi/full/10.1029/2018JC014313" xr:uid="{AA0A6BAA-1EE6-46EB-AC61-77BAAED2A7D0}"/>
    <hyperlink ref="N261" r:id="rId33" display="https://link.springer.com/article/10.1007/s12237-018-0379-6" xr:uid="{1475C90E-066C-4588-BF04-27408B2A11F0}"/>
    <hyperlink ref="N98" r:id="rId34" location="s0010" display="https://www.sciencedirect.com/science/article/pii/S0278434313001283 - s0010" xr:uid="{EFBDD507-1028-4925-88B9-A0E38B040D65}"/>
    <hyperlink ref="N340" r:id="rId35" location="section2" display="https://os.copernicus.org/articles/17/1623/2021/ - section2" xr:uid="{6A24D5ED-07AA-458C-851B-83655D8C8801}"/>
    <hyperlink ref="N342" r:id="rId36" display="https://www.researchgate.net/publication/366338540_Reconstruction_of_Mediterranean_coastal_sea_level_at_different_timescales_based_on_tide_gauge_records" xr:uid="{49C4A518-92CF-4CD0-A561-D09E8E703E99}"/>
    <hyperlink ref="N366" r:id="rId37" display="https://hal.science/hal-04555208v1/file/Khan2023.pdf" xr:uid="{E8D2C7ED-410E-44A0-BCF3-3444FDC2BE4D}"/>
    <hyperlink ref="N336" r:id="rId38" display="https://agupubs.onlinelibrary.wiley.com/doi/full/10.1029/2020JC016328" xr:uid="{036FD655-3678-497B-8942-B4521F7617F9}"/>
    <hyperlink ref="N216" r:id="rId39" display="https://pdxscholar.library.pdx.edu/cgi/viewcontent.cgi?article=1426&amp;context=cengin_fac" xr:uid="{77E13BC9-7994-4B34-AD75-8734D73504FF}"/>
    <hyperlink ref="N65" r:id="rId40" display="https://journals.ametsoc.org/view/journals/phoc/36/6/jpo2876.1.xml" xr:uid="{0F120F53-D21A-49C8-8CCC-68D66BAEE071}"/>
    <hyperlink ref="N2" r:id="rId41" display="C:\Users\ck1g20\AppData\Local\Temp\MicrosoftEdgeDownloads\9b15081c-5147-4c54-98f5-b1962a9902f1\277504.pdf" xr:uid="{3F85DC88-5B76-4A8B-B446-572ABDA9F772}"/>
    <hyperlink ref="N57" r:id="rId42" display="https://agupubs.onlinelibrary.wiley.com/doi/full/10.1029/2003GL019166" xr:uid="{C8BA8A7B-93BB-49A7-97DE-5963D096ED09}"/>
    <hyperlink ref="N103" r:id="rId43" display="https://link.springer.com/article/10.1007/s10236-013-0598-0" xr:uid="{76CE2F69-C759-4A90-91DA-A7990C6021E0}"/>
    <hyperlink ref="N127" r:id="rId44" display="https://psmsl.org/products/author_archive/Extended_PSMSL_Table_26-10-2012.pdf" xr:uid="{C530E9F0-ADAD-4340-A03D-8D9149C403FF}"/>
    <hyperlink ref="N3" r:id="rId45" display="https://academic.oup.com/gji/article/71/3/809/656230?login=true" xr:uid="{CD2DFF6D-D880-4B16-AAB1-C5BA4CDE84EA}"/>
    <hyperlink ref="N105" r:id="rId46" display="https://meridian.allenpress.com/jcr/article/29/6a/118/144016/Nineteenth-Century-North-American-and-Pacific" xr:uid="{0DC5CC82-CFF6-4341-AE48-272AC27A1385}"/>
    <hyperlink ref="N24" r:id="rId47" display="https://www.nodc.noaa.gov/media/pdf/esm/ESM_SEP2003vol14no1.pdf" xr:uid="{5A81F668-9F03-498B-8D65-33AD917030AD}"/>
    <hyperlink ref="N75" r:id="rId48" location="tocto1n3" display="https://journals.openedition.org/mediterranee/170 - tocto1n3" xr:uid="{CF70D5F5-A42C-4D98-A58A-0E82B5620A03}"/>
    <hyperlink ref="N368" r:id="rId49" display="https://www.scirp.org/journal/paperinformation?paperid=128406" xr:uid="{0F0C9DC7-4D60-4DB9-96BF-607A578C0671}"/>
    <hyperlink ref="N92" r:id="rId50" display="https://agupubs.onlinelibrary.wiley.com/doi/full/10.1029/2011JF001964" xr:uid="{97CAA79D-B296-45F7-97F0-CEAC975E010F}"/>
    <hyperlink ref="N81" r:id="rId51" location="sec2" display="https://www.sciencedirect.com/science/article/pii/S0278434306003888 - sec2" xr:uid="{6E2FF808-A626-4D70-A3C4-01D809D84558}"/>
    <hyperlink ref="N89" r:id="rId52" display="https://academic.oup.com/gji/article/182/2/781/571033" xr:uid="{3484972B-6C22-4D91-AFD1-1AE7BAFB7DA5}"/>
    <hyperlink ref="N6" r:id="rId53" display="https://agupubs.onlinelibrary.wiley.com/doi/epdf/10.1029/93GL02371" xr:uid="{904C871E-86A7-4C5C-85BF-CDC537A3BD37}"/>
    <hyperlink ref="N212" r:id="rId54" display="https://refmar.shom.fr/sites/default/files/2024-07/Reconstruction serie maregraphique Saint-Nazaire par Yann Ferret 2016.pdf" xr:uid="{1DF73C27-7913-4F3D-8E80-93C12D0FA053}"/>
    <hyperlink ref="N271" r:id="rId55" display="https://agupubs.onlinelibrary.wiley.com/doi/full/10.1029/2019JC015277" xr:uid="{0B6742E9-6FC0-4886-B9D1-9ECF89C75C8E}"/>
    <hyperlink ref="N55" r:id="rId56" display="https://journals.ametsoc.org/view/journals/clim/16/6/1520-0442_2003_016_0982_svatcc_2.0.co_2.xml" xr:uid="{6EDE0B75-FBB0-4FBD-89C5-BF5461497460}"/>
    <hyperlink ref="N372" r:id="rId57" display="https://rmets.onlinelibrary.wiley.com/doi/10.1002/gdj3.70018" xr:uid="{804A2D54-4915-4B47-A37F-11EB424253A2}"/>
    <hyperlink ref="N4" r:id="rId58" display="https://academic.oup.com/gji/article/71/3/809/656230?login=true" xr:uid="{00405DB5-AA1E-403B-B17D-5EDB8F071FE4}"/>
    <hyperlink ref="N5" r:id="rId59" display="https://academic.oup.com/gji/article/71/3/809/656230?login=true" xr:uid="{4B3E28C7-B1FE-4FDD-B9D7-0A0A494EBAF7}"/>
    <hyperlink ref="N8" r:id="rId60" display="https://agupubs.onlinelibrary.wiley.com/doi/epdf/10.1029/94JB00279" xr:uid="{070C97F5-BF8B-40DE-8F6F-6CA6C225B67C}"/>
    <hyperlink ref="N9" r:id="rId61" display="https://agupubs.onlinelibrary.wiley.com/doi/epdf/10.1029/94JB00279" xr:uid="{EFE717C6-3846-4F5F-90CF-56641F7BC131}"/>
    <hyperlink ref="N10" r:id="rId62" display="https://agupubs.onlinelibrary.wiley.com/doi/epdf/10.1029/94JB00279" xr:uid="{732F48EF-85A3-41EF-B1EA-943DE9319159}"/>
    <hyperlink ref="N11" r:id="rId63" display="https://agupubs.onlinelibrary.wiley.com/doi/epdf/10.1029/94JB00279" xr:uid="{31B21188-B7CB-4B9D-BCE7-0CF91D7D3C99}"/>
    <hyperlink ref="N12" r:id="rId64" display="https://agupubs.onlinelibrary.wiley.com/doi/epdf/10.1029/94JB00279" xr:uid="{AF5A49AD-4CA0-4604-BF06-21E33DC4F76E}"/>
    <hyperlink ref="N13" r:id="rId65" display="https://agupubs.onlinelibrary.wiley.com/doi/epdf/10.1029/94JB00279" xr:uid="{AEC2BEBB-0355-4506-A556-30315F1C39BC}"/>
    <hyperlink ref="N14" r:id="rId66" display="https://agupubs.onlinelibrary.wiley.com/doi/epdf/10.1029/94JB00279" xr:uid="{023E3137-48A6-43EF-B20D-3EB9F9F31475}"/>
    <hyperlink ref="N16" r:id="rId67" display="https://agupubs.onlinelibrary.wiley.com/doi/epdf/10.1029/1999GL900323" xr:uid="{F2019250-7C3C-4C0B-8492-F5B260983AF4}"/>
    <hyperlink ref="N17" r:id="rId68" display="https://agupubs.onlinelibrary.wiley.com/doi/epdf/10.1029/1999GL900323" xr:uid="{8F4A948A-322F-4CC5-AA68-B92C60BF3449}"/>
    <hyperlink ref="N18" r:id="rId69" display="https://agupubs.onlinelibrary.wiley.com/doi/epdf/10.1029/1999GL900323" xr:uid="{E1A1938F-AB07-4B34-951A-6675D02CC5E9}"/>
    <hyperlink ref="N20" r:id="rId70" display="https://psmsl.org/data/longrecords/ReportsFGI_2000_1.pdf" xr:uid="{6892F413-CF7C-432D-8BD1-8BA3C84CFBFC}"/>
    <hyperlink ref="N21" r:id="rId71" display="https://psmsl.org/data/longrecords/ReportsFGI_2000_1.pdf" xr:uid="{DF7E4EDF-0E8C-4936-A3CA-E4D05D1AB1D4}"/>
    <hyperlink ref="N25" r:id="rId72" display="https://www.nodc.noaa.gov/media/pdf/esm/ESM_SEP2003vol14no1.pdf" xr:uid="{59C2243C-91A6-4CC2-A9E3-DBC5777C5F8F}"/>
    <hyperlink ref="N26" r:id="rId73" display="https://www.nodc.noaa.gov/media/pdf/esm/ESM_SEP2003vol14no1.pdf" xr:uid="{6A91D8FF-7402-48E8-8569-C1E2EEF01F19}"/>
    <hyperlink ref="N28" r:id="rId74" display="https://www.nodc.noaa.gov/media/pdf/esm/ESM_SEP2003vol14no1.pdf" xr:uid="{DAEF0077-6B4C-4F79-B17C-65303C94C7B5}"/>
    <hyperlink ref="N30" r:id="rId75" display="https://www.nodc.noaa.gov/media/pdf/esm/ESM_SEP2003vol14no1.pdf" xr:uid="{950E9F79-B2EE-4531-8C14-E732BCEBF50D}"/>
    <hyperlink ref="N32" r:id="rId76" display="https://www.nodc.noaa.gov/media/pdf/esm/ESM_SEP2003vol14no1.pdf" xr:uid="{8BEF7696-DC40-432A-8BBE-087FFC82FCD6}"/>
    <hyperlink ref="N34" r:id="rId77" display="https://www.nodc.noaa.gov/media/pdf/esm/ESM_SEP2003vol14no1.pdf" xr:uid="{5CACDE27-D65A-4E10-BB94-B1A858253E15}"/>
    <hyperlink ref="N36" r:id="rId78" display="https://www.nodc.noaa.gov/media/pdf/esm/ESM_SEP2003vol14no1.pdf" xr:uid="{5FDB45DD-CBAC-4A7C-ABCD-04886D50FF88}"/>
    <hyperlink ref="N38" r:id="rId79" display="https://www.nodc.noaa.gov/media/pdf/esm/ESM_SEP2003vol14no1.pdf" xr:uid="{FEC60AD1-2476-4808-B93C-78CCA1F20DF8}"/>
    <hyperlink ref="N40" r:id="rId80" display="https://www.nodc.noaa.gov/media/pdf/esm/ESM_SEP2003vol14no1.pdf" xr:uid="{B3B9A578-AF13-4645-A905-A30CCF4674DA}"/>
    <hyperlink ref="N42" r:id="rId81" display="https://www.nodc.noaa.gov/media/pdf/esm/ESM_SEP2003vol14no1.pdf" xr:uid="{D77D347C-6DBE-40B0-AD3F-12235C4421C9}"/>
    <hyperlink ref="N44" r:id="rId82" display="https://www.nodc.noaa.gov/media/pdf/esm/ESM_SEP2003vol14no1.pdf" xr:uid="{1DE376B8-0C51-4A01-B2EC-5C0AD3D30E47}"/>
    <hyperlink ref="N46" r:id="rId83" display="https://www.nodc.noaa.gov/media/pdf/esm/ESM_SEP2003vol14no1.pdf" xr:uid="{6632BC70-01DF-4F4D-98DE-03405F9008BF}"/>
    <hyperlink ref="N48" r:id="rId84" display="https://www.nodc.noaa.gov/media/pdf/esm/ESM_SEP2003vol14no1.pdf" xr:uid="{29A28C83-D7D3-431C-850E-9B8DED41902B}"/>
    <hyperlink ref="N50" r:id="rId85" display="https://www.nodc.noaa.gov/media/pdf/esm/ESM_SEP2003vol14no1.pdf" xr:uid="{B753E726-8698-4A36-ABE9-D8FE0532A151}"/>
    <hyperlink ref="N52" r:id="rId86" display="https://www.nodc.noaa.gov/media/pdf/esm/ESM_SEP2003vol14no1.pdf" xr:uid="{71BAFB2B-5CB5-4267-B5B4-789664BCD11E}"/>
    <hyperlink ref="N54" r:id="rId87" display="https://www.nodc.noaa.gov/media/pdf/esm/ESM_SEP2003vol14no1.pdf" xr:uid="{3F0A3169-AC5A-4B61-8F92-4DF94A0526C9}"/>
    <hyperlink ref="N27" r:id="rId88" display="https://www.nodc.noaa.gov/media/pdf/esm/ESM_SEP2003vol14no1.pdf" xr:uid="{243E1071-139C-4185-81A9-A23EF7C0309D}"/>
    <hyperlink ref="N29" r:id="rId89" display="https://www.nodc.noaa.gov/media/pdf/esm/ESM_SEP2003vol14no1.pdf" xr:uid="{9DD83AF9-F4AD-4CFC-915B-8A619778F6FB}"/>
    <hyperlink ref="N31" r:id="rId90" display="https://www.nodc.noaa.gov/media/pdf/esm/ESM_SEP2003vol14no1.pdf" xr:uid="{96B15F22-CB6D-4496-B955-F3D0B12A6B80}"/>
    <hyperlink ref="N33" r:id="rId91" display="https://www.nodc.noaa.gov/media/pdf/esm/ESM_SEP2003vol14no1.pdf" xr:uid="{BB808FC4-7F71-4E44-9E31-579CF81C2875}"/>
    <hyperlink ref="N35" r:id="rId92" display="https://www.nodc.noaa.gov/media/pdf/esm/ESM_SEP2003vol14no1.pdf" xr:uid="{87AE5942-0A9D-4F54-847B-2F81936303AB}"/>
    <hyperlink ref="N37" r:id="rId93" display="https://www.nodc.noaa.gov/media/pdf/esm/ESM_SEP2003vol14no1.pdf" xr:uid="{7F7CFA6F-4BC4-430A-9443-982AE4215A82}"/>
    <hyperlink ref="N39" r:id="rId94" display="https://www.nodc.noaa.gov/media/pdf/esm/ESM_SEP2003vol14no1.pdf" xr:uid="{47F23539-4C58-42BC-B5E0-5EF5ECB6AA24}"/>
    <hyperlink ref="N41" r:id="rId95" display="https://www.nodc.noaa.gov/media/pdf/esm/ESM_SEP2003vol14no1.pdf" xr:uid="{47EBECC5-EB49-4DBC-9750-A2E7CA730707}"/>
    <hyperlink ref="N43" r:id="rId96" display="https://www.nodc.noaa.gov/media/pdf/esm/ESM_SEP2003vol14no1.pdf" xr:uid="{1E41EAF9-4640-45B3-9B09-30AC02487486}"/>
    <hyperlink ref="N45" r:id="rId97" display="https://www.nodc.noaa.gov/media/pdf/esm/ESM_SEP2003vol14no1.pdf" xr:uid="{42BE8369-3B96-4AAD-B15C-53F1EEB3E5CF}"/>
    <hyperlink ref="N47" r:id="rId98" display="https://www.nodc.noaa.gov/media/pdf/esm/ESM_SEP2003vol14no1.pdf" xr:uid="{AAC578AF-DB37-4BEE-9417-B177A8E3E2D5}"/>
    <hyperlink ref="N49" r:id="rId99" display="https://www.nodc.noaa.gov/media/pdf/esm/ESM_SEP2003vol14no1.pdf" xr:uid="{08EAEA76-7110-4A85-90ED-CC06FA27ED20}"/>
    <hyperlink ref="N51" r:id="rId100" display="https://www.nodc.noaa.gov/media/pdf/esm/ESM_SEP2003vol14no1.pdf" xr:uid="{E8F7388F-2E21-473D-B564-F6409FBA83FF}"/>
    <hyperlink ref="N53" r:id="rId101" display="https://www.nodc.noaa.gov/media/pdf/esm/ESM_SEP2003vol14no1.pdf" xr:uid="{C288F1EA-ACF7-4025-AA38-9645CCDB702F}"/>
    <hyperlink ref="N56" r:id="rId102" display="https://journals.ametsoc.org/view/journals/clim/16/6/1520-0442_2003_016_0982_svatcc_2.0.co_2.xml" xr:uid="{20CC1081-EBE2-4989-98F5-82C3A13092A8}"/>
    <hyperlink ref="N59:N62" r:id="rId103" display="https://link.springer.com/article/10.1007/s10236-005-0044-z" xr:uid="{CA779755-779B-4CCC-ABDE-4E5B4AA73616}"/>
    <hyperlink ref="N64" r:id="rId104" display="https://link.springer.com/article/10.1007/s10236-005-0056-8" xr:uid="{D9F8943F-41C4-49DA-8E28-ED05CA60F29D}"/>
    <hyperlink ref="N66" r:id="rId105" display="https://journals.ametsoc.org/view/journals/phoc/36/6/jpo2876.1.xml" xr:uid="{CBFD2EBE-E775-4637-B2FF-5A5A7965FFE7}"/>
    <hyperlink ref="N68:N73" r:id="rId106" display="https://binp.regione.veneto.it/SebinaOpac/resource/18722004-la-serie-storica-delle-maree-a-venezia/VIA01614330" xr:uid="{782E9E65-8955-4905-8E28-61F04EE4912E}"/>
    <hyperlink ref="N76:N80" r:id="rId107" location="tocto1n3" display="https://journals.openedition.org/mediterranee/170 - tocto1n3" xr:uid="{0E62950A-5697-41A5-96A5-B87468C8A513}"/>
    <hyperlink ref="N93" r:id="rId108" display="https://agupubs.onlinelibrary.wiley.com/doi/full/10.1029/2011JF001964" xr:uid="{F0737295-E20A-432E-A9F6-494CB56B438D}"/>
    <hyperlink ref="N95" r:id="rId109" display="https://agupubs.onlinelibrary.wiley.com/doi/full/10.1002/jgrc.20377" xr:uid="{1CBF9C60-C367-42DF-A236-A2B3B8ADEA5A}"/>
    <hyperlink ref="N96" r:id="rId110" display="https://agupubs.onlinelibrary.wiley.com/doi/full/10.1002/jgrc.20377" xr:uid="{C7355610-46A6-4317-AFC9-9A04A15E54FD}"/>
    <hyperlink ref="N99:N102" r:id="rId111" location="s0010" display="https://www.sciencedirect.com/science/article/pii/S0278434313001283 - s0010" xr:uid="{4A92B0B9-48E1-483B-9EBF-2F21F40EE96A}"/>
    <hyperlink ref="N104" r:id="rId112" display="https://link.springer.com/article/10.1007/s10236-013-0598-0" xr:uid="{DD0D55FE-9188-4C38-AB31-C3BDD23BD36A}"/>
    <hyperlink ref="N106:N116" r:id="rId113" display="https://meridian.allenpress.com/jcr/article/29/6a/118/144016/Nineteenth-Century-North-American-and-Pacific" xr:uid="{30008ECA-C849-4FA8-A6C2-0C98482353C3}"/>
    <hyperlink ref="N118:N123" r:id="rId114" display="https://agupubs.onlinelibrary.wiley.com/doi/full/10.1002/2014GL059574" xr:uid="{01A62133-EE6F-4156-B05A-48B168D961B2}"/>
    <hyperlink ref="N125:N126" r:id="rId115" display="https://link.springer.com/article/10.1007/s00190-014-0728-6" xr:uid="{5F7A0B89-F2AB-4CCE-B278-3CB9C0CE9565}"/>
    <hyperlink ref="N128:N207" r:id="rId116" display="https://psmsl.org/products/author_archive/Extended_PSMSL_Table_26-10-2012.pdf" xr:uid="{34EC496C-1F1C-42C9-B0EB-E6A8F016BC86}"/>
    <hyperlink ref="N209:N211" r:id="rId117" display="https://www.researchgate.net/publication/273705568_Maintaining_legacy_data_Saving_Belfast_Harbour_UK_tide-gauge_data_1901-2010" xr:uid="{BA881002-7B2C-4535-B1F3-FEC003DC530C}"/>
    <hyperlink ref="N213" r:id="rId118" display="https://refmar.shom.fr/sites/default/files/2024-07/Reconstruction serie maregraphique Saint-Nazaire par Yann Ferret 2016.pdf" xr:uid="{F79F2E86-3695-4983-92E9-4761F3BB46FC}"/>
    <hyperlink ref="N215" r:id="rId119" display="https://agupubs.onlinelibrary.wiley.com/doi/full/10.1002/2016GL069494" xr:uid="{A155DC61-449C-4FED-ACC6-C6DD5A8E9326}"/>
    <hyperlink ref="N217:N254" r:id="rId120" display="https://pdxscholar.library.pdx.edu/cgi/viewcontent.cgi?article=1426&amp;context=cengin_fac" xr:uid="{04B82459-B5EE-455A-9FF8-F5EDE8CDBDAB}"/>
    <hyperlink ref="N256" r:id="rId121" display="https://agupubs.onlinelibrary.wiley.com/doi/full/10.1029/2017JC013645" xr:uid="{B4677F81-9E6A-41B8-84A1-05D6E9DF6CF5}"/>
    <hyperlink ref="N257" r:id="rId122" display="https://agupubs.onlinelibrary.wiley.com/doi/full/10.1029/2017JC013645" xr:uid="{F2666246-1E68-4335-A2B4-1A7F4B04772D}"/>
    <hyperlink ref="N258" r:id="rId123" display="https://agupubs.onlinelibrary.wiley.com/doi/full/10.1029/2017JC013645" xr:uid="{C4009B4A-7A0B-420E-B9BF-2358D7347291}"/>
    <hyperlink ref="N259" r:id="rId124" display="https://agupubs.onlinelibrary.wiley.com/doi/full/10.1029/2017JC013645" xr:uid="{A0FC11A3-9D44-4CFE-A2BB-C415D60EF263}"/>
    <hyperlink ref="N262:N267" r:id="rId125" display="https://link.springer.com/article/10.1007/s12237-018-0379-6" xr:uid="{543DDFD2-A2D4-460A-A3AA-D261433B5EF0}"/>
    <hyperlink ref="N269" r:id="rId126" location="Sec2" display="https://link.springer.com/article/10.1007/s00190-019-01238-w - Sec2" xr:uid="{8A10C91C-2CFC-44B4-8482-24429291FF7E}"/>
    <hyperlink ref="N270" r:id="rId127" location="Sec2" display="https://link.springer.com/article/10.1007/s00190-019-01238-w - Sec2" xr:uid="{B43536D3-E09A-43DD-9F3D-0A52D7F0107C}"/>
    <hyperlink ref="N272" r:id="rId128" display="https://agupubs.onlinelibrary.wiley.com/doi/full/10.1029/2019JC015277" xr:uid="{0DE15EED-7791-4E76-9D7A-41123BA4375E}"/>
    <hyperlink ref="N273" r:id="rId129" display="https://agupubs.onlinelibrary.wiley.com/doi/full/10.1029/2019JC015277" xr:uid="{9D87F881-8496-457E-BD9F-4056DBF43BA5}"/>
    <hyperlink ref="N275" r:id="rId130" location="b0420" display="https://www.sciencedirect.com/science/article/pii/S0079661120300720 - b0420" xr:uid="{7654D865-14CA-4D48-80DB-0650FB2E16AD}"/>
    <hyperlink ref="N276" r:id="rId131" location="b0420" display="https://www.sciencedirect.com/science/article/pii/S0079661120300720 - b0420" xr:uid="{25357152-BE68-4C01-9CE7-50E7BC2B31FE}"/>
    <hyperlink ref="N277" r:id="rId132" location="b0420" display="https://www.sciencedirect.com/science/article/pii/S0079661120300720 - b0420" xr:uid="{5A11CA8A-24CA-46D4-8312-E5B529F37105}"/>
    <hyperlink ref="N278" r:id="rId133" location="b0420" display="https://www.sciencedirect.com/science/article/pii/S0079661120300720 - b0420" xr:uid="{D9C243FE-A4B1-474A-B6E9-BC9DFBCE2BE2}"/>
    <hyperlink ref="N279:N312" r:id="rId134" location="b0420" display="https://www.sciencedirect.com/science/article/pii/S0079661120300720 - b0420" xr:uid="{F9386C61-9F6D-4296-9317-EAF04084F8FD}"/>
    <hyperlink ref="N314:N318" r:id="rId135" display="https://agupubs.onlinelibrary.wiley.com/doi/full/10.1029/2019JC015656" xr:uid="{30A988A9-0019-4EB7-9C65-483E2DA4AED1}"/>
    <hyperlink ref="N320:N324" r:id="rId136" display="https://theses.hal.science/tel-02899411/" xr:uid="{916CB464-6AA5-46E4-94E7-3878C9D2D82A}"/>
    <hyperlink ref="N326:N332" r:id="rId137" display="https://rmets.onlinelibrary.wiley.com/doi/full/10.1002/gdj3.112" xr:uid="{92D7D534-0915-4342-9755-F71071AB18D8}"/>
    <hyperlink ref="N334:N335" r:id="rId138" display="https://southerncoastalgroup-scopac.org.uk/wp-content/uploads/2022/01/Digitisation-and-Analysis-of-Poole-Harbour-Tide-Gauge-Record-September-2021.pdf" xr:uid="{05E031D4-34EB-4773-8496-B982B4B51B59}"/>
    <hyperlink ref="N337:N339" r:id="rId139" display="https://agupubs.onlinelibrary.wiley.com/doi/full/10.1029/2020JC016328" xr:uid="{CE9D9F4E-002E-4BFC-8DCB-D424B74AE579}"/>
    <hyperlink ref="N341" r:id="rId140" location="section2" display="https://os.copernicus.org/articles/17/1623/2021/ - section2" xr:uid="{6399C239-A54E-4375-BE70-BB163B1A4D50}"/>
    <hyperlink ref="N343:N350" r:id="rId141" display="https://www.researchgate.net/publication/366338540_Reconstruction_of_Mediterranean_coastal_sea_level_at_different_timescales_based_on_tide_gauge_records" xr:uid="{40F3D7A6-B15F-4D0E-A8BB-71D2B8770E10}"/>
    <hyperlink ref="N352:N365" r:id="rId142" display="https://www.proquest.com/docview/2649433831?fromopenview=true&amp;pq-origsite=gscholar&amp;sourcetype=Scholarly%20Journals" xr:uid="{EBC97D20-C582-4700-9F5B-36BAAFBEF021}"/>
    <hyperlink ref="N367" r:id="rId143" display="https://hal.science/hal-04555208v1/file/Khan2023.pdf" xr:uid="{DE271A5F-EAE3-4EFC-9798-0E79A51B703A}"/>
    <hyperlink ref="N370" r:id="rId144" display="https://agupubs.onlinelibrary.wiley.com/doi/full/10.1029/2024JC020908" xr:uid="{AD097A46-2274-4C85-8348-9AB10028139F}"/>
    <hyperlink ref="N373:N427" r:id="rId145" display="https://rmets.onlinelibrary.wiley.com/doi/10.1002/gdj3.70018" xr:uid="{2AE06458-373C-4EA5-A2D0-341741B707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Kenwright</dc:creator>
  <cp:lastModifiedBy>Christian Kenwright</cp:lastModifiedBy>
  <dcterms:created xsi:type="dcterms:W3CDTF">2026-03-13T18:29:10Z</dcterms:created>
  <dcterms:modified xsi:type="dcterms:W3CDTF">2026-03-16T08:47:32Z</dcterms:modified>
</cp:coreProperties>
</file>